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공태원\Desktop\"/>
    </mc:Choice>
  </mc:AlternateContent>
  <xr:revisionPtr revIDLastSave="0" documentId="8_{6EFCEEAB-3099-4198-9B17-0DB379163EC6}" xr6:coauthVersionLast="47" xr6:coauthVersionMax="47" xr10:uidLastSave="{00000000-0000-0000-0000-000000000000}"/>
  <bookViews>
    <workbookView xWindow="18630" yWindow="900" windowWidth="18360" windowHeight="18540" xr2:uid="{00000000-000D-0000-FFFF-FFFF00000000}"/>
  </bookViews>
  <sheets>
    <sheet name="비트_롱계산기" sheetId="1" r:id="rId1"/>
    <sheet name="비트_숏계산기" sheetId="2" r:id="rId2"/>
    <sheet name="이더_롱계산기" sheetId="3" r:id="rId3"/>
    <sheet name="이더_숏계산기" sheetId="4" r:id="rId4"/>
  </sheets>
  <calcPr calcId="181029"/>
</workbook>
</file>

<file path=xl/calcChain.xml><?xml version="1.0" encoding="utf-8"?>
<calcChain xmlns="http://schemas.openxmlformats.org/spreadsheetml/2006/main">
  <c r="N118" i="4" l="1"/>
  <c r="G118" i="4"/>
  <c r="D118" i="4"/>
  <c r="F118" i="4" s="1"/>
  <c r="N117" i="4"/>
  <c r="G117" i="4"/>
  <c r="D117" i="4"/>
  <c r="F117" i="4" s="1"/>
  <c r="N116" i="4"/>
  <c r="G116" i="4"/>
  <c r="D116" i="4"/>
  <c r="F116" i="4" s="1"/>
  <c r="N115" i="4"/>
  <c r="G115" i="4"/>
  <c r="D115" i="4"/>
  <c r="F115" i="4" s="1"/>
  <c r="N114" i="4"/>
  <c r="G114" i="4"/>
  <c r="D114" i="4"/>
  <c r="F114" i="4" s="1"/>
  <c r="N113" i="4"/>
  <c r="G113" i="4"/>
  <c r="D113" i="4"/>
  <c r="F113" i="4" s="1"/>
  <c r="N112" i="4"/>
  <c r="G112" i="4"/>
  <c r="D112" i="4"/>
  <c r="F112" i="4" s="1"/>
  <c r="N111" i="4"/>
  <c r="G111" i="4"/>
  <c r="D111" i="4"/>
  <c r="F111" i="4" s="1"/>
  <c r="N110" i="4"/>
  <c r="G110" i="4"/>
  <c r="D110" i="4"/>
  <c r="F110" i="4" s="1"/>
  <c r="N109" i="4"/>
  <c r="G109" i="4"/>
  <c r="D109" i="4"/>
  <c r="F109" i="4" s="1"/>
  <c r="N108" i="4"/>
  <c r="G108" i="4"/>
  <c r="D108" i="4"/>
  <c r="F108" i="4" s="1"/>
  <c r="N107" i="4"/>
  <c r="G107" i="4"/>
  <c r="D107" i="4"/>
  <c r="F107" i="4" s="1"/>
  <c r="N106" i="4"/>
  <c r="G106" i="4"/>
  <c r="D106" i="4"/>
  <c r="F106" i="4" s="1"/>
  <c r="N105" i="4"/>
  <c r="G105" i="4"/>
  <c r="D105" i="4"/>
  <c r="F105" i="4" s="1"/>
  <c r="N104" i="4"/>
  <c r="G104" i="4"/>
  <c r="D104" i="4"/>
  <c r="F104" i="4" s="1"/>
  <c r="N103" i="4"/>
  <c r="G103" i="4"/>
  <c r="D103" i="4"/>
  <c r="F103" i="4" s="1"/>
  <c r="N102" i="4"/>
  <c r="G102" i="4"/>
  <c r="D102" i="4"/>
  <c r="F102" i="4" s="1"/>
  <c r="N101" i="4"/>
  <c r="G101" i="4"/>
  <c r="D101" i="4"/>
  <c r="F101" i="4" s="1"/>
  <c r="N100" i="4"/>
  <c r="G100" i="4"/>
  <c r="D100" i="4"/>
  <c r="F100" i="4" s="1"/>
  <c r="N99" i="4"/>
  <c r="G99" i="4"/>
  <c r="D99" i="4"/>
  <c r="F99" i="4" s="1"/>
  <c r="N98" i="4"/>
  <c r="G98" i="4"/>
  <c r="D98" i="4"/>
  <c r="F98" i="4" s="1"/>
  <c r="N97" i="4"/>
  <c r="G97" i="4"/>
  <c r="D97" i="4"/>
  <c r="F97" i="4" s="1"/>
  <c r="N96" i="4"/>
  <c r="G96" i="4"/>
  <c r="D96" i="4"/>
  <c r="F96" i="4" s="1"/>
  <c r="N95" i="4"/>
  <c r="G95" i="4"/>
  <c r="D95" i="4"/>
  <c r="F95" i="4" s="1"/>
  <c r="N94" i="4"/>
  <c r="G94" i="4"/>
  <c r="D94" i="4"/>
  <c r="F94" i="4" s="1"/>
  <c r="N93" i="4"/>
  <c r="G93" i="4"/>
  <c r="D93" i="4"/>
  <c r="F93" i="4" s="1"/>
  <c r="N92" i="4"/>
  <c r="G92" i="4"/>
  <c r="D92" i="4"/>
  <c r="F92" i="4" s="1"/>
  <c r="N91" i="4"/>
  <c r="G91" i="4"/>
  <c r="D91" i="4"/>
  <c r="F91" i="4" s="1"/>
  <c r="N90" i="4"/>
  <c r="G90" i="4"/>
  <c r="D90" i="4"/>
  <c r="F90" i="4" s="1"/>
  <c r="N89" i="4"/>
  <c r="G89" i="4"/>
  <c r="D89" i="4"/>
  <c r="F89" i="4" s="1"/>
  <c r="N88" i="4"/>
  <c r="G88" i="4"/>
  <c r="D88" i="4"/>
  <c r="F88" i="4" s="1"/>
  <c r="N87" i="4"/>
  <c r="G87" i="4"/>
  <c r="D87" i="4"/>
  <c r="F87" i="4" s="1"/>
  <c r="N86" i="4"/>
  <c r="G86" i="4"/>
  <c r="D86" i="4"/>
  <c r="F86" i="4" s="1"/>
  <c r="N85" i="4"/>
  <c r="G85" i="4"/>
  <c r="D85" i="4"/>
  <c r="F85" i="4" s="1"/>
  <c r="N84" i="4"/>
  <c r="G84" i="4"/>
  <c r="D84" i="4"/>
  <c r="F84" i="4" s="1"/>
  <c r="N83" i="4"/>
  <c r="G83" i="4"/>
  <c r="D83" i="4"/>
  <c r="F83" i="4" s="1"/>
  <c r="N82" i="4"/>
  <c r="G82" i="4"/>
  <c r="D82" i="4"/>
  <c r="F82" i="4" s="1"/>
  <c r="N81" i="4"/>
  <c r="G81" i="4"/>
  <c r="D81" i="4"/>
  <c r="F81" i="4" s="1"/>
  <c r="N80" i="4"/>
  <c r="G80" i="4"/>
  <c r="D80" i="4"/>
  <c r="F80" i="4" s="1"/>
  <c r="N79" i="4"/>
  <c r="G79" i="4"/>
  <c r="D79" i="4"/>
  <c r="F79" i="4" s="1"/>
  <c r="N78" i="4"/>
  <c r="G78" i="4"/>
  <c r="D78" i="4"/>
  <c r="F78" i="4" s="1"/>
  <c r="N77" i="4"/>
  <c r="G77" i="4"/>
  <c r="D77" i="4"/>
  <c r="F77" i="4" s="1"/>
  <c r="N76" i="4"/>
  <c r="G76" i="4"/>
  <c r="D76" i="4"/>
  <c r="F76" i="4" s="1"/>
  <c r="N75" i="4"/>
  <c r="G75" i="4"/>
  <c r="D75" i="4"/>
  <c r="F75" i="4" s="1"/>
  <c r="N74" i="4"/>
  <c r="G74" i="4"/>
  <c r="F74" i="4" s="1"/>
  <c r="D74" i="4"/>
  <c r="N73" i="4"/>
  <c r="G73" i="4"/>
  <c r="D73" i="4"/>
  <c r="F73" i="4" s="1"/>
  <c r="N72" i="4"/>
  <c r="G72" i="4"/>
  <c r="F72" i="4" s="1"/>
  <c r="D72" i="4"/>
  <c r="N71" i="4"/>
  <c r="G71" i="4"/>
  <c r="F71" i="4" s="1"/>
  <c r="D71" i="4"/>
  <c r="N70" i="4"/>
  <c r="G70" i="4"/>
  <c r="F70" i="4" s="1"/>
  <c r="D70" i="4"/>
  <c r="N69" i="4"/>
  <c r="G69" i="4"/>
  <c r="F69" i="4" s="1"/>
  <c r="D69" i="4"/>
  <c r="N68" i="4"/>
  <c r="G68" i="4"/>
  <c r="F68" i="4" s="1"/>
  <c r="D68" i="4"/>
  <c r="N67" i="4"/>
  <c r="G67" i="4"/>
  <c r="F67" i="4" s="1"/>
  <c r="D67" i="4"/>
  <c r="N66" i="4"/>
  <c r="G66" i="4"/>
  <c r="F66" i="4" s="1"/>
  <c r="D66" i="4"/>
  <c r="N65" i="4"/>
  <c r="G65" i="4"/>
  <c r="F65" i="4" s="1"/>
  <c r="D65" i="4"/>
  <c r="N64" i="4"/>
  <c r="G64" i="4"/>
  <c r="F64" i="4" s="1"/>
  <c r="D64" i="4"/>
  <c r="N63" i="4"/>
  <c r="G63" i="4"/>
  <c r="F63" i="4" s="1"/>
  <c r="D63" i="4"/>
  <c r="N62" i="4"/>
  <c r="G62" i="4"/>
  <c r="F62" i="4" s="1"/>
  <c r="D62" i="4"/>
  <c r="N61" i="4"/>
  <c r="G61" i="4"/>
  <c r="F61" i="4"/>
  <c r="D61" i="4"/>
  <c r="N60" i="4"/>
  <c r="G60" i="4"/>
  <c r="F60" i="4" s="1"/>
  <c r="D60" i="4"/>
  <c r="N59" i="4"/>
  <c r="G59" i="4"/>
  <c r="F59" i="4" s="1"/>
  <c r="D59" i="4"/>
  <c r="N58" i="4"/>
  <c r="G58" i="4"/>
  <c r="F58" i="4" s="1"/>
  <c r="D58" i="4"/>
  <c r="N57" i="4"/>
  <c r="G57" i="4"/>
  <c r="F57" i="4" s="1"/>
  <c r="D57" i="4"/>
  <c r="N56" i="4"/>
  <c r="G56" i="4"/>
  <c r="F56" i="4" s="1"/>
  <c r="D56" i="4"/>
  <c r="N55" i="4"/>
  <c r="G55" i="4"/>
  <c r="F55" i="4" s="1"/>
  <c r="D55" i="4"/>
  <c r="N54" i="4"/>
  <c r="G54" i="4"/>
  <c r="F54" i="4" s="1"/>
  <c r="D54" i="4"/>
  <c r="N53" i="4"/>
  <c r="G53" i="4"/>
  <c r="F53" i="4" s="1"/>
  <c r="D53" i="4"/>
  <c r="N52" i="4"/>
  <c r="G52" i="4"/>
  <c r="D52" i="4"/>
  <c r="F52" i="4" s="1"/>
  <c r="N51" i="4"/>
  <c r="G51" i="4"/>
  <c r="D51" i="4"/>
  <c r="F51" i="4" s="1"/>
  <c r="N50" i="4"/>
  <c r="G50" i="4"/>
  <c r="D50" i="4"/>
  <c r="F50" i="4" s="1"/>
  <c r="N49" i="4"/>
  <c r="G49" i="4"/>
  <c r="D49" i="4"/>
  <c r="F49" i="4" s="1"/>
  <c r="N48" i="4"/>
  <c r="G48" i="4"/>
  <c r="D48" i="4"/>
  <c r="F48" i="4" s="1"/>
  <c r="N47" i="4"/>
  <c r="G47" i="4"/>
  <c r="D47" i="4"/>
  <c r="F47" i="4" s="1"/>
  <c r="N46" i="4"/>
  <c r="G46" i="4"/>
  <c r="D46" i="4"/>
  <c r="F46" i="4" s="1"/>
  <c r="N45" i="4"/>
  <c r="G45" i="4"/>
  <c r="D45" i="4"/>
  <c r="F45" i="4" s="1"/>
  <c r="N44" i="4"/>
  <c r="G44" i="4"/>
  <c r="D44" i="4"/>
  <c r="F44" i="4" s="1"/>
  <c r="N43" i="4"/>
  <c r="G43" i="4"/>
  <c r="D43" i="4"/>
  <c r="F43" i="4" s="1"/>
  <c r="N42" i="4"/>
  <c r="G42" i="4"/>
  <c r="D42" i="4"/>
  <c r="F42" i="4" s="1"/>
  <c r="N41" i="4"/>
  <c r="G41" i="4"/>
  <c r="D41" i="4"/>
  <c r="F41" i="4" s="1"/>
  <c r="N40" i="4"/>
  <c r="G40" i="4"/>
  <c r="D40" i="4"/>
  <c r="F40" i="4" s="1"/>
  <c r="N39" i="4"/>
  <c r="G39" i="4"/>
  <c r="D39" i="4"/>
  <c r="F39" i="4" s="1"/>
  <c r="N38" i="4"/>
  <c r="G38" i="4"/>
  <c r="D38" i="4"/>
  <c r="F38" i="4" s="1"/>
  <c r="N37" i="4"/>
  <c r="G37" i="4"/>
  <c r="D37" i="4"/>
  <c r="F37" i="4" s="1"/>
  <c r="N36" i="4"/>
  <c r="G36" i="4"/>
  <c r="D36" i="4"/>
  <c r="F36" i="4" s="1"/>
  <c r="N35" i="4"/>
  <c r="G35" i="4"/>
  <c r="D35" i="4"/>
  <c r="F35" i="4" s="1"/>
  <c r="N34" i="4"/>
  <c r="G34" i="4"/>
  <c r="D34" i="4"/>
  <c r="F34" i="4" s="1"/>
  <c r="N33" i="4"/>
  <c r="G33" i="4"/>
  <c r="D33" i="4"/>
  <c r="F33" i="4" s="1"/>
  <c r="N32" i="4"/>
  <c r="G32" i="4"/>
  <c r="D32" i="4"/>
  <c r="F32" i="4" s="1"/>
  <c r="N31" i="4"/>
  <c r="G31" i="4"/>
  <c r="D31" i="4"/>
  <c r="F31" i="4" s="1"/>
  <c r="N30" i="4"/>
  <c r="G30" i="4"/>
  <c r="D30" i="4"/>
  <c r="F30" i="4" s="1"/>
  <c r="N29" i="4"/>
  <c r="G29" i="4"/>
  <c r="D29" i="4"/>
  <c r="F29" i="4" s="1"/>
  <c r="N28" i="4"/>
  <c r="G28" i="4"/>
  <c r="D28" i="4"/>
  <c r="F28" i="4" s="1"/>
  <c r="N27" i="4"/>
  <c r="G27" i="4"/>
  <c r="D27" i="4"/>
  <c r="F27" i="4" s="1"/>
  <c r="N26" i="4"/>
  <c r="G26" i="4"/>
  <c r="D26" i="4"/>
  <c r="F26" i="4" s="1"/>
  <c r="N25" i="4"/>
  <c r="G25" i="4"/>
  <c r="D25" i="4"/>
  <c r="F25" i="4" s="1"/>
  <c r="N24" i="4"/>
  <c r="G24" i="4"/>
  <c r="D24" i="4"/>
  <c r="F24" i="4" s="1"/>
  <c r="N23" i="4"/>
  <c r="G23" i="4"/>
  <c r="D23" i="4"/>
  <c r="F23" i="4" s="1"/>
  <c r="N22" i="4"/>
  <c r="G22" i="4"/>
  <c r="D22" i="4"/>
  <c r="F22" i="4" s="1"/>
  <c r="N21" i="4"/>
  <c r="G21" i="4"/>
  <c r="D21" i="4"/>
  <c r="F21" i="4" s="1"/>
  <c r="N20" i="4"/>
  <c r="G20" i="4"/>
  <c r="D20" i="4"/>
  <c r="F20" i="4" s="1"/>
  <c r="N19" i="4"/>
  <c r="G19" i="4"/>
  <c r="I19" i="4" s="1"/>
  <c r="D19" i="4"/>
  <c r="F19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N118" i="3"/>
  <c r="G118" i="3"/>
  <c r="D118" i="3"/>
  <c r="N117" i="3"/>
  <c r="G117" i="3"/>
  <c r="D117" i="3"/>
  <c r="N116" i="3"/>
  <c r="G116" i="3"/>
  <c r="D116" i="3"/>
  <c r="N115" i="3"/>
  <c r="G115" i="3"/>
  <c r="D115" i="3"/>
  <c r="N114" i="3"/>
  <c r="G114" i="3"/>
  <c r="D114" i="3"/>
  <c r="N113" i="3"/>
  <c r="G113" i="3"/>
  <c r="D113" i="3"/>
  <c r="N112" i="3"/>
  <c r="G112" i="3"/>
  <c r="D112" i="3"/>
  <c r="N111" i="3"/>
  <c r="G111" i="3"/>
  <c r="D111" i="3"/>
  <c r="N110" i="3"/>
  <c r="G110" i="3"/>
  <c r="D110" i="3"/>
  <c r="N109" i="3"/>
  <c r="G109" i="3"/>
  <c r="D109" i="3"/>
  <c r="N108" i="3"/>
  <c r="G108" i="3"/>
  <c r="D108" i="3"/>
  <c r="N107" i="3"/>
  <c r="G107" i="3"/>
  <c r="D107" i="3"/>
  <c r="N106" i="3"/>
  <c r="G106" i="3"/>
  <c r="D106" i="3"/>
  <c r="N105" i="3"/>
  <c r="G105" i="3"/>
  <c r="D105" i="3"/>
  <c r="N104" i="3"/>
  <c r="G104" i="3"/>
  <c r="D104" i="3"/>
  <c r="N103" i="3"/>
  <c r="G103" i="3"/>
  <c r="D103" i="3"/>
  <c r="N102" i="3"/>
  <c r="G102" i="3"/>
  <c r="D102" i="3"/>
  <c r="N101" i="3"/>
  <c r="G101" i="3"/>
  <c r="D101" i="3"/>
  <c r="N100" i="3"/>
  <c r="G100" i="3"/>
  <c r="D100" i="3"/>
  <c r="N99" i="3"/>
  <c r="G99" i="3"/>
  <c r="D99" i="3"/>
  <c r="N98" i="3"/>
  <c r="G98" i="3"/>
  <c r="D98" i="3"/>
  <c r="N97" i="3"/>
  <c r="G97" i="3"/>
  <c r="D97" i="3"/>
  <c r="N96" i="3"/>
  <c r="G96" i="3"/>
  <c r="D96" i="3"/>
  <c r="N95" i="3"/>
  <c r="G95" i="3"/>
  <c r="D95" i="3"/>
  <c r="N94" i="3"/>
  <c r="G94" i="3"/>
  <c r="D94" i="3"/>
  <c r="N93" i="3"/>
  <c r="G93" i="3"/>
  <c r="D93" i="3"/>
  <c r="N92" i="3"/>
  <c r="G92" i="3"/>
  <c r="D92" i="3"/>
  <c r="N91" i="3"/>
  <c r="G91" i="3"/>
  <c r="D91" i="3"/>
  <c r="N90" i="3"/>
  <c r="G90" i="3"/>
  <c r="D90" i="3"/>
  <c r="N89" i="3"/>
  <c r="G89" i="3"/>
  <c r="D89" i="3"/>
  <c r="N88" i="3"/>
  <c r="G88" i="3"/>
  <c r="D88" i="3"/>
  <c r="N87" i="3"/>
  <c r="G87" i="3"/>
  <c r="D87" i="3"/>
  <c r="N86" i="3"/>
  <c r="G86" i="3"/>
  <c r="D86" i="3"/>
  <c r="N85" i="3"/>
  <c r="G85" i="3"/>
  <c r="D85" i="3"/>
  <c r="N84" i="3"/>
  <c r="G84" i="3"/>
  <c r="D84" i="3"/>
  <c r="N83" i="3"/>
  <c r="G83" i="3"/>
  <c r="D83" i="3"/>
  <c r="N82" i="3"/>
  <c r="G82" i="3"/>
  <c r="D82" i="3"/>
  <c r="N81" i="3"/>
  <c r="G81" i="3"/>
  <c r="D81" i="3"/>
  <c r="N80" i="3"/>
  <c r="G80" i="3"/>
  <c r="D80" i="3"/>
  <c r="N79" i="3"/>
  <c r="G79" i="3"/>
  <c r="D79" i="3"/>
  <c r="N78" i="3"/>
  <c r="G78" i="3"/>
  <c r="D78" i="3"/>
  <c r="N77" i="3"/>
  <c r="G77" i="3"/>
  <c r="D77" i="3"/>
  <c r="N76" i="3"/>
  <c r="G76" i="3"/>
  <c r="D76" i="3"/>
  <c r="N75" i="3"/>
  <c r="G75" i="3"/>
  <c r="D75" i="3"/>
  <c r="N74" i="3"/>
  <c r="G74" i="3"/>
  <c r="D74" i="3"/>
  <c r="N73" i="3"/>
  <c r="G73" i="3"/>
  <c r="D73" i="3"/>
  <c r="N72" i="3"/>
  <c r="G72" i="3"/>
  <c r="D72" i="3"/>
  <c r="N71" i="3"/>
  <c r="G71" i="3"/>
  <c r="D71" i="3"/>
  <c r="N70" i="3"/>
  <c r="G70" i="3"/>
  <c r="D70" i="3"/>
  <c r="N69" i="3"/>
  <c r="G69" i="3"/>
  <c r="D69" i="3"/>
  <c r="N68" i="3"/>
  <c r="G68" i="3"/>
  <c r="D68" i="3"/>
  <c r="N67" i="3"/>
  <c r="G67" i="3"/>
  <c r="D67" i="3"/>
  <c r="N66" i="3"/>
  <c r="G66" i="3"/>
  <c r="D66" i="3"/>
  <c r="N65" i="3"/>
  <c r="G65" i="3"/>
  <c r="D65" i="3"/>
  <c r="N64" i="3"/>
  <c r="G64" i="3"/>
  <c r="D64" i="3"/>
  <c r="N63" i="3"/>
  <c r="G63" i="3"/>
  <c r="D63" i="3"/>
  <c r="N62" i="3"/>
  <c r="G62" i="3"/>
  <c r="D62" i="3"/>
  <c r="N61" i="3"/>
  <c r="G61" i="3"/>
  <c r="D61" i="3"/>
  <c r="N60" i="3"/>
  <c r="G60" i="3"/>
  <c r="D60" i="3"/>
  <c r="N59" i="3"/>
  <c r="G59" i="3"/>
  <c r="F59" i="3" s="1"/>
  <c r="D59" i="3"/>
  <c r="N58" i="3"/>
  <c r="G58" i="3"/>
  <c r="F58" i="3" s="1"/>
  <c r="D58" i="3"/>
  <c r="N57" i="3"/>
  <c r="G57" i="3"/>
  <c r="F57" i="3" s="1"/>
  <c r="D57" i="3"/>
  <c r="N56" i="3"/>
  <c r="G56" i="3"/>
  <c r="D56" i="3"/>
  <c r="N55" i="3"/>
  <c r="G55" i="3"/>
  <c r="F55" i="3" s="1"/>
  <c r="D55" i="3"/>
  <c r="N54" i="3"/>
  <c r="G54" i="3"/>
  <c r="F54" i="3" s="1"/>
  <c r="D54" i="3"/>
  <c r="N53" i="3"/>
  <c r="G53" i="3"/>
  <c r="F53" i="3" s="1"/>
  <c r="D53" i="3"/>
  <c r="N52" i="3"/>
  <c r="G52" i="3"/>
  <c r="F52" i="3" s="1"/>
  <c r="D52" i="3"/>
  <c r="N51" i="3"/>
  <c r="G51" i="3"/>
  <c r="F51" i="3" s="1"/>
  <c r="D51" i="3"/>
  <c r="N50" i="3"/>
  <c r="G50" i="3"/>
  <c r="F50" i="3" s="1"/>
  <c r="D50" i="3"/>
  <c r="N49" i="3"/>
  <c r="G49" i="3"/>
  <c r="F49" i="3" s="1"/>
  <c r="D49" i="3"/>
  <c r="N48" i="3"/>
  <c r="G48" i="3"/>
  <c r="F48" i="3" s="1"/>
  <c r="D48" i="3"/>
  <c r="N47" i="3"/>
  <c r="G47" i="3"/>
  <c r="F47" i="3"/>
  <c r="D47" i="3"/>
  <c r="N46" i="3"/>
  <c r="G46" i="3"/>
  <c r="F46" i="3" s="1"/>
  <c r="D46" i="3"/>
  <c r="N45" i="3"/>
  <c r="G45" i="3"/>
  <c r="D45" i="3"/>
  <c r="N44" i="3"/>
  <c r="G44" i="3"/>
  <c r="F44" i="3" s="1"/>
  <c r="D44" i="3"/>
  <c r="N43" i="3"/>
  <c r="G43" i="3"/>
  <c r="F43" i="3" s="1"/>
  <c r="D43" i="3"/>
  <c r="N42" i="3"/>
  <c r="G42" i="3"/>
  <c r="F42" i="3" s="1"/>
  <c r="D42" i="3"/>
  <c r="N41" i="3"/>
  <c r="G41" i="3"/>
  <c r="F41" i="3" s="1"/>
  <c r="D41" i="3"/>
  <c r="N40" i="3"/>
  <c r="G40" i="3"/>
  <c r="F40" i="3" s="1"/>
  <c r="D40" i="3"/>
  <c r="N39" i="3"/>
  <c r="G39" i="3"/>
  <c r="F39" i="3" s="1"/>
  <c r="D39" i="3"/>
  <c r="N38" i="3"/>
  <c r="G38" i="3"/>
  <c r="F38" i="3" s="1"/>
  <c r="D38" i="3"/>
  <c r="N37" i="3"/>
  <c r="G37" i="3"/>
  <c r="F37" i="3" s="1"/>
  <c r="D37" i="3"/>
  <c r="N36" i="3"/>
  <c r="G36" i="3"/>
  <c r="F36" i="3" s="1"/>
  <c r="D36" i="3"/>
  <c r="N35" i="3"/>
  <c r="G35" i="3"/>
  <c r="F35" i="3" s="1"/>
  <c r="D35" i="3"/>
  <c r="N34" i="3"/>
  <c r="G34" i="3"/>
  <c r="F34" i="3" s="1"/>
  <c r="D34" i="3"/>
  <c r="N33" i="3"/>
  <c r="G33" i="3"/>
  <c r="F33" i="3" s="1"/>
  <c r="D33" i="3"/>
  <c r="N32" i="3"/>
  <c r="G32" i="3"/>
  <c r="F32" i="3" s="1"/>
  <c r="D32" i="3"/>
  <c r="N31" i="3"/>
  <c r="G31" i="3"/>
  <c r="F31" i="3" s="1"/>
  <c r="D31" i="3"/>
  <c r="N30" i="3"/>
  <c r="G30" i="3"/>
  <c r="F30" i="3" s="1"/>
  <c r="D30" i="3"/>
  <c r="N29" i="3"/>
  <c r="G29" i="3"/>
  <c r="F29" i="3" s="1"/>
  <c r="D29" i="3"/>
  <c r="N28" i="3"/>
  <c r="G28" i="3"/>
  <c r="F28" i="3" s="1"/>
  <c r="D28" i="3"/>
  <c r="N27" i="3"/>
  <c r="G27" i="3"/>
  <c r="F27" i="3" s="1"/>
  <c r="D27" i="3"/>
  <c r="N26" i="3"/>
  <c r="G26" i="3"/>
  <c r="F26" i="3" s="1"/>
  <c r="D26" i="3"/>
  <c r="N25" i="3"/>
  <c r="G25" i="3"/>
  <c r="F25" i="3" s="1"/>
  <c r="D25" i="3"/>
  <c r="N24" i="3"/>
  <c r="G24" i="3"/>
  <c r="F24" i="3" s="1"/>
  <c r="D24" i="3"/>
  <c r="N23" i="3"/>
  <c r="G23" i="3"/>
  <c r="F23" i="3" s="1"/>
  <c r="D23" i="3"/>
  <c r="N22" i="3"/>
  <c r="G22" i="3"/>
  <c r="F22" i="3" s="1"/>
  <c r="D22" i="3"/>
  <c r="N21" i="3"/>
  <c r="G21" i="3"/>
  <c r="F21" i="3" s="1"/>
  <c r="D21" i="3"/>
  <c r="N20" i="3"/>
  <c r="G20" i="3"/>
  <c r="F20" i="3" s="1"/>
  <c r="D20" i="3"/>
  <c r="N19" i="3"/>
  <c r="G19" i="3"/>
  <c r="D19" i="3"/>
  <c r="N118" i="2"/>
  <c r="G118" i="2"/>
  <c r="D118" i="2"/>
  <c r="F118" i="2" s="1"/>
  <c r="N117" i="2"/>
  <c r="G117" i="2"/>
  <c r="D117" i="2"/>
  <c r="F117" i="2" s="1"/>
  <c r="N116" i="2"/>
  <c r="G116" i="2"/>
  <c r="D116" i="2"/>
  <c r="F116" i="2" s="1"/>
  <c r="N115" i="2"/>
  <c r="G115" i="2"/>
  <c r="D115" i="2"/>
  <c r="F115" i="2" s="1"/>
  <c r="N114" i="2"/>
  <c r="G114" i="2"/>
  <c r="D114" i="2"/>
  <c r="F114" i="2" s="1"/>
  <c r="N113" i="2"/>
  <c r="G113" i="2"/>
  <c r="D113" i="2"/>
  <c r="F113" i="2" s="1"/>
  <c r="N112" i="2"/>
  <c r="G112" i="2"/>
  <c r="D112" i="2"/>
  <c r="F112" i="2" s="1"/>
  <c r="N111" i="2"/>
  <c r="G111" i="2"/>
  <c r="D111" i="2"/>
  <c r="F111" i="2" s="1"/>
  <c r="N110" i="2"/>
  <c r="G110" i="2"/>
  <c r="D110" i="2"/>
  <c r="F110" i="2" s="1"/>
  <c r="N109" i="2"/>
  <c r="G109" i="2"/>
  <c r="D109" i="2"/>
  <c r="F109" i="2" s="1"/>
  <c r="N108" i="2"/>
  <c r="G108" i="2"/>
  <c r="D108" i="2"/>
  <c r="F108" i="2" s="1"/>
  <c r="N107" i="2"/>
  <c r="G107" i="2"/>
  <c r="D107" i="2"/>
  <c r="F107" i="2" s="1"/>
  <c r="N106" i="2"/>
  <c r="G106" i="2"/>
  <c r="D106" i="2"/>
  <c r="F106" i="2" s="1"/>
  <c r="N105" i="2"/>
  <c r="G105" i="2"/>
  <c r="D105" i="2"/>
  <c r="F105" i="2" s="1"/>
  <c r="N104" i="2"/>
  <c r="G104" i="2"/>
  <c r="D104" i="2"/>
  <c r="F104" i="2" s="1"/>
  <c r="N103" i="2"/>
  <c r="G103" i="2"/>
  <c r="D103" i="2"/>
  <c r="F103" i="2" s="1"/>
  <c r="N102" i="2"/>
  <c r="G102" i="2"/>
  <c r="D102" i="2"/>
  <c r="F102" i="2" s="1"/>
  <c r="N101" i="2"/>
  <c r="G101" i="2"/>
  <c r="D101" i="2"/>
  <c r="F101" i="2" s="1"/>
  <c r="N100" i="2"/>
  <c r="G100" i="2"/>
  <c r="D100" i="2"/>
  <c r="F100" i="2" s="1"/>
  <c r="N99" i="2"/>
  <c r="G99" i="2"/>
  <c r="D99" i="2"/>
  <c r="F99" i="2" s="1"/>
  <c r="N98" i="2"/>
  <c r="G98" i="2"/>
  <c r="D98" i="2"/>
  <c r="F98" i="2" s="1"/>
  <c r="N97" i="2"/>
  <c r="G97" i="2"/>
  <c r="D97" i="2"/>
  <c r="F97" i="2" s="1"/>
  <c r="N96" i="2"/>
  <c r="G96" i="2"/>
  <c r="D96" i="2"/>
  <c r="F96" i="2" s="1"/>
  <c r="N95" i="2"/>
  <c r="G95" i="2"/>
  <c r="D95" i="2"/>
  <c r="F95" i="2" s="1"/>
  <c r="N94" i="2"/>
  <c r="G94" i="2"/>
  <c r="D94" i="2"/>
  <c r="F94" i="2" s="1"/>
  <c r="N93" i="2"/>
  <c r="G93" i="2"/>
  <c r="D93" i="2"/>
  <c r="F93" i="2" s="1"/>
  <c r="N92" i="2"/>
  <c r="G92" i="2"/>
  <c r="D92" i="2"/>
  <c r="F92" i="2" s="1"/>
  <c r="N91" i="2"/>
  <c r="G91" i="2"/>
  <c r="D91" i="2"/>
  <c r="F91" i="2" s="1"/>
  <c r="N90" i="2"/>
  <c r="G90" i="2"/>
  <c r="D90" i="2"/>
  <c r="F90" i="2" s="1"/>
  <c r="N89" i="2"/>
  <c r="G89" i="2"/>
  <c r="F89" i="2" s="1"/>
  <c r="D89" i="2"/>
  <c r="N88" i="2"/>
  <c r="G88" i="2"/>
  <c r="F88" i="2" s="1"/>
  <c r="D88" i="2"/>
  <c r="N87" i="2"/>
  <c r="G87" i="2"/>
  <c r="F87" i="2" s="1"/>
  <c r="D87" i="2"/>
  <c r="N86" i="2"/>
  <c r="G86" i="2"/>
  <c r="F86" i="2" s="1"/>
  <c r="D86" i="2"/>
  <c r="N85" i="2"/>
  <c r="G85" i="2"/>
  <c r="D85" i="2"/>
  <c r="F85" i="2" s="1"/>
  <c r="N84" i="2"/>
  <c r="G84" i="2"/>
  <c r="D84" i="2"/>
  <c r="F84" i="2" s="1"/>
  <c r="N83" i="2"/>
  <c r="G83" i="2"/>
  <c r="D83" i="2"/>
  <c r="F83" i="2" s="1"/>
  <c r="N82" i="2"/>
  <c r="G82" i="2"/>
  <c r="D82" i="2"/>
  <c r="F82" i="2" s="1"/>
  <c r="N81" i="2"/>
  <c r="G81" i="2"/>
  <c r="D81" i="2"/>
  <c r="F81" i="2" s="1"/>
  <c r="N80" i="2"/>
  <c r="G80" i="2"/>
  <c r="D80" i="2"/>
  <c r="F80" i="2" s="1"/>
  <c r="N79" i="2"/>
  <c r="G79" i="2"/>
  <c r="D79" i="2"/>
  <c r="F79" i="2" s="1"/>
  <c r="N78" i="2"/>
  <c r="G78" i="2"/>
  <c r="D78" i="2"/>
  <c r="F78" i="2" s="1"/>
  <c r="N77" i="2"/>
  <c r="G77" i="2"/>
  <c r="D77" i="2"/>
  <c r="F77" i="2" s="1"/>
  <c r="N76" i="2"/>
  <c r="G76" i="2"/>
  <c r="D76" i="2"/>
  <c r="F76" i="2" s="1"/>
  <c r="N75" i="2"/>
  <c r="G75" i="2"/>
  <c r="D75" i="2"/>
  <c r="F75" i="2" s="1"/>
  <c r="N74" i="2"/>
  <c r="G74" i="2"/>
  <c r="D74" i="2"/>
  <c r="F74" i="2" s="1"/>
  <c r="N73" i="2"/>
  <c r="G73" i="2"/>
  <c r="D73" i="2"/>
  <c r="F73" i="2" s="1"/>
  <c r="N72" i="2"/>
  <c r="G72" i="2"/>
  <c r="D72" i="2"/>
  <c r="F72" i="2" s="1"/>
  <c r="N71" i="2"/>
  <c r="G71" i="2"/>
  <c r="D71" i="2"/>
  <c r="F71" i="2" s="1"/>
  <c r="N70" i="2"/>
  <c r="G70" i="2"/>
  <c r="D70" i="2"/>
  <c r="F70" i="2" s="1"/>
  <c r="N69" i="2"/>
  <c r="G69" i="2"/>
  <c r="D69" i="2"/>
  <c r="F69" i="2" s="1"/>
  <c r="N68" i="2"/>
  <c r="G68" i="2"/>
  <c r="D68" i="2"/>
  <c r="F68" i="2" s="1"/>
  <c r="N67" i="2"/>
  <c r="G67" i="2"/>
  <c r="D67" i="2"/>
  <c r="F67" i="2" s="1"/>
  <c r="N66" i="2"/>
  <c r="G66" i="2"/>
  <c r="D66" i="2"/>
  <c r="F66" i="2" s="1"/>
  <c r="N65" i="2"/>
  <c r="G65" i="2"/>
  <c r="D65" i="2"/>
  <c r="F65" i="2" s="1"/>
  <c r="N64" i="2"/>
  <c r="G64" i="2"/>
  <c r="D64" i="2"/>
  <c r="F64" i="2" s="1"/>
  <c r="N63" i="2"/>
  <c r="G63" i="2"/>
  <c r="D63" i="2"/>
  <c r="F63" i="2" s="1"/>
  <c r="N62" i="2"/>
  <c r="G62" i="2"/>
  <c r="D62" i="2"/>
  <c r="F62" i="2" s="1"/>
  <c r="N61" i="2"/>
  <c r="G61" i="2"/>
  <c r="D61" i="2"/>
  <c r="F61" i="2" s="1"/>
  <c r="N60" i="2"/>
  <c r="G60" i="2"/>
  <c r="D60" i="2"/>
  <c r="F60" i="2" s="1"/>
  <c r="N59" i="2"/>
  <c r="G59" i="2"/>
  <c r="D59" i="2"/>
  <c r="F59" i="2" s="1"/>
  <c r="N58" i="2"/>
  <c r="G58" i="2"/>
  <c r="D58" i="2"/>
  <c r="F58" i="2" s="1"/>
  <c r="N57" i="2"/>
  <c r="G57" i="2"/>
  <c r="D57" i="2"/>
  <c r="F57" i="2" s="1"/>
  <c r="N56" i="2"/>
  <c r="G56" i="2"/>
  <c r="D56" i="2"/>
  <c r="F56" i="2" s="1"/>
  <c r="N55" i="2"/>
  <c r="G55" i="2"/>
  <c r="D55" i="2"/>
  <c r="F55" i="2" s="1"/>
  <c r="N54" i="2"/>
  <c r="G54" i="2"/>
  <c r="D54" i="2"/>
  <c r="F54" i="2" s="1"/>
  <c r="N53" i="2"/>
  <c r="G53" i="2"/>
  <c r="D53" i="2"/>
  <c r="F53" i="2" s="1"/>
  <c r="N52" i="2"/>
  <c r="G52" i="2"/>
  <c r="D52" i="2"/>
  <c r="F52" i="2" s="1"/>
  <c r="N51" i="2"/>
  <c r="G51" i="2"/>
  <c r="D51" i="2"/>
  <c r="F51" i="2" s="1"/>
  <c r="N50" i="2"/>
  <c r="G50" i="2"/>
  <c r="D50" i="2"/>
  <c r="F50" i="2" s="1"/>
  <c r="N49" i="2"/>
  <c r="G49" i="2"/>
  <c r="D49" i="2"/>
  <c r="F49" i="2" s="1"/>
  <c r="N48" i="2"/>
  <c r="G48" i="2"/>
  <c r="D48" i="2"/>
  <c r="F48" i="2" s="1"/>
  <c r="N47" i="2"/>
  <c r="G47" i="2"/>
  <c r="D47" i="2"/>
  <c r="F47" i="2" s="1"/>
  <c r="N46" i="2"/>
  <c r="G46" i="2"/>
  <c r="D46" i="2"/>
  <c r="F46" i="2" s="1"/>
  <c r="N45" i="2"/>
  <c r="G45" i="2"/>
  <c r="D45" i="2"/>
  <c r="F45" i="2" s="1"/>
  <c r="N44" i="2"/>
  <c r="G44" i="2"/>
  <c r="D44" i="2"/>
  <c r="F44" i="2" s="1"/>
  <c r="N43" i="2"/>
  <c r="G43" i="2"/>
  <c r="D43" i="2"/>
  <c r="F43" i="2" s="1"/>
  <c r="N42" i="2"/>
  <c r="G42" i="2"/>
  <c r="D42" i="2"/>
  <c r="F42" i="2" s="1"/>
  <c r="N41" i="2"/>
  <c r="G41" i="2"/>
  <c r="D41" i="2"/>
  <c r="F41" i="2" s="1"/>
  <c r="N40" i="2"/>
  <c r="G40" i="2"/>
  <c r="D40" i="2"/>
  <c r="F40" i="2" s="1"/>
  <c r="N39" i="2"/>
  <c r="G39" i="2"/>
  <c r="D39" i="2"/>
  <c r="F39" i="2" s="1"/>
  <c r="N38" i="2"/>
  <c r="G38" i="2"/>
  <c r="D38" i="2"/>
  <c r="F38" i="2" s="1"/>
  <c r="N37" i="2"/>
  <c r="G37" i="2"/>
  <c r="D37" i="2"/>
  <c r="F37" i="2" s="1"/>
  <c r="N36" i="2"/>
  <c r="G36" i="2"/>
  <c r="D36" i="2"/>
  <c r="F36" i="2" s="1"/>
  <c r="N35" i="2"/>
  <c r="G35" i="2"/>
  <c r="D35" i="2"/>
  <c r="F35" i="2" s="1"/>
  <c r="N34" i="2"/>
  <c r="G34" i="2"/>
  <c r="D34" i="2"/>
  <c r="F34" i="2" s="1"/>
  <c r="N33" i="2"/>
  <c r="G33" i="2"/>
  <c r="D33" i="2"/>
  <c r="F33" i="2" s="1"/>
  <c r="N32" i="2"/>
  <c r="G32" i="2"/>
  <c r="D32" i="2"/>
  <c r="F32" i="2" s="1"/>
  <c r="N31" i="2"/>
  <c r="G31" i="2"/>
  <c r="D31" i="2"/>
  <c r="F31" i="2" s="1"/>
  <c r="N30" i="2"/>
  <c r="G30" i="2"/>
  <c r="D30" i="2"/>
  <c r="F30" i="2" s="1"/>
  <c r="N29" i="2"/>
  <c r="G29" i="2"/>
  <c r="D29" i="2"/>
  <c r="F29" i="2" s="1"/>
  <c r="N28" i="2"/>
  <c r="G28" i="2"/>
  <c r="D28" i="2"/>
  <c r="F28" i="2" s="1"/>
  <c r="N27" i="2"/>
  <c r="G27" i="2"/>
  <c r="D27" i="2"/>
  <c r="F27" i="2" s="1"/>
  <c r="N26" i="2"/>
  <c r="G26" i="2"/>
  <c r="F26" i="2" s="1"/>
  <c r="D26" i="2"/>
  <c r="N25" i="2"/>
  <c r="G25" i="2"/>
  <c r="D25" i="2"/>
  <c r="F25" i="2" s="1"/>
  <c r="N24" i="2"/>
  <c r="G24" i="2"/>
  <c r="D24" i="2"/>
  <c r="F24" i="2" s="1"/>
  <c r="N23" i="2"/>
  <c r="G23" i="2"/>
  <c r="F23" i="2" s="1"/>
  <c r="D23" i="2"/>
  <c r="N22" i="2"/>
  <c r="G22" i="2"/>
  <c r="F22" i="2" s="1"/>
  <c r="D22" i="2"/>
  <c r="N21" i="2"/>
  <c r="G21" i="2"/>
  <c r="F21" i="2" s="1"/>
  <c r="D21" i="2"/>
  <c r="N20" i="2"/>
  <c r="G20" i="2"/>
  <c r="F20" i="2" s="1"/>
  <c r="D20" i="2"/>
  <c r="N19" i="2"/>
  <c r="G19" i="2"/>
  <c r="D19" i="2"/>
  <c r="N118" i="1"/>
  <c r="G118" i="1"/>
  <c r="D118" i="1"/>
  <c r="N117" i="1"/>
  <c r="G117" i="1"/>
  <c r="D117" i="1"/>
  <c r="N116" i="1"/>
  <c r="G116" i="1"/>
  <c r="D116" i="1"/>
  <c r="N115" i="1"/>
  <c r="G115" i="1"/>
  <c r="D115" i="1"/>
  <c r="N114" i="1"/>
  <c r="G114" i="1"/>
  <c r="D114" i="1"/>
  <c r="N113" i="1"/>
  <c r="G113" i="1"/>
  <c r="D113" i="1"/>
  <c r="N112" i="1"/>
  <c r="G112" i="1"/>
  <c r="D112" i="1"/>
  <c r="N111" i="1"/>
  <c r="G111" i="1"/>
  <c r="D111" i="1"/>
  <c r="N110" i="1"/>
  <c r="G110" i="1"/>
  <c r="D110" i="1"/>
  <c r="N109" i="1"/>
  <c r="G109" i="1"/>
  <c r="D109" i="1"/>
  <c r="N108" i="1"/>
  <c r="G108" i="1"/>
  <c r="D108" i="1"/>
  <c r="N107" i="1"/>
  <c r="G107" i="1"/>
  <c r="D107" i="1"/>
  <c r="N106" i="1"/>
  <c r="G106" i="1"/>
  <c r="D106" i="1"/>
  <c r="N105" i="1"/>
  <c r="G105" i="1"/>
  <c r="D105" i="1"/>
  <c r="N104" i="1"/>
  <c r="G104" i="1"/>
  <c r="D104" i="1"/>
  <c r="N103" i="1"/>
  <c r="G103" i="1"/>
  <c r="D103" i="1"/>
  <c r="N102" i="1"/>
  <c r="G102" i="1"/>
  <c r="D102" i="1"/>
  <c r="N101" i="1"/>
  <c r="G101" i="1"/>
  <c r="D101" i="1"/>
  <c r="N100" i="1"/>
  <c r="G100" i="1"/>
  <c r="D100" i="1"/>
  <c r="N99" i="1"/>
  <c r="G99" i="1"/>
  <c r="D99" i="1"/>
  <c r="N98" i="1"/>
  <c r="G98" i="1"/>
  <c r="D98" i="1"/>
  <c r="N97" i="1"/>
  <c r="G97" i="1"/>
  <c r="D97" i="1"/>
  <c r="N96" i="1"/>
  <c r="G96" i="1"/>
  <c r="D96" i="1"/>
  <c r="N95" i="1"/>
  <c r="G95" i="1"/>
  <c r="D95" i="1"/>
  <c r="N94" i="1"/>
  <c r="G94" i="1"/>
  <c r="D94" i="1"/>
  <c r="N93" i="1"/>
  <c r="G93" i="1"/>
  <c r="F93" i="1" s="1"/>
  <c r="D93" i="1"/>
  <c r="N92" i="1"/>
  <c r="G92" i="1"/>
  <c r="F92" i="1" s="1"/>
  <c r="D92" i="1"/>
  <c r="N91" i="1"/>
  <c r="G91" i="1"/>
  <c r="F91" i="1" s="1"/>
  <c r="D91" i="1"/>
  <c r="N90" i="1"/>
  <c r="G90" i="1"/>
  <c r="F90" i="1" s="1"/>
  <c r="D90" i="1"/>
  <c r="N89" i="1"/>
  <c r="G89" i="1"/>
  <c r="F89" i="1" s="1"/>
  <c r="D89" i="1"/>
  <c r="N88" i="1"/>
  <c r="G88" i="1"/>
  <c r="F88" i="1" s="1"/>
  <c r="D88" i="1"/>
  <c r="N87" i="1"/>
  <c r="G87" i="1"/>
  <c r="F87" i="1" s="1"/>
  <c r="D87" i="1"/>
  <c r="N86" i="1"/>
  <c r="G86" i="1"/>
  <c r="F86" i="1" s="1"/>
  <c r="D86" i="1"/>
  <c r="N85" i="1"/>
  <c r="G85" i="1"/>
  <c r="D85" i="1"/>
  <c r="N84" i="1"/>
  <c r="G84" i="1"/>
  <c r="D84" i="1"/>
  <c r="N83" i="1"/>
  <c r="G83" i="1"/>
  <c r="D83" i="1"/>
  <c r="N82" i="1"/>
  <c r="G82" i="1"/>
  <c r="D82" i="1"/>
  <c r="N81" i="1"/>
  <c r="G81" i="1"/>
  <c r="D81" i="1"/>
  <c r="N80" i="1"/>
  <c r="G80" i="1"/>
  <c r="D80" i="1"/>
  <c r="N79" i="1"/>
  <c r="G79" i="1"/>
  <c r="D79" i="1"/>
  <c r="N78" i="1"/>
  <c r="G78" i="1"/>
  <c r="D78" i="1"/>
  <c r="N77" i="1"/>
  <c r="G77" i="1"/>
  <c r="D77" i="1"/>
  <c r="N76" i="1"/>
  <c r="G76" i="1"/>
  <c r="D76" i="1"/>
  <c r="N75" i="1"/>
  <c r="G75" i="1"/>
  <c r="D75" i="1"/>
  <c r="N74" i="1"/>
  <c r="G74" i="1"/>
  <c r="D74" i="1"/>
  <c r="N73" i="1"/>
  <c r="G73" i="1"/>
  <c r="D73" i="1"/>
  <c r="N72" i="1"/>
  <c r="G72" i="1"/>
  <c r="D72" i="1"/>
  <c r="N71" i="1"/>
  <c r="G71" i="1"/>
  <c r="D71" i="1"/>
  <c r="N70" i="1"/>
  <c r="G70" i="1"/>
  <c r="D70" i="1"/>
  <c r="N69" i="1"/>
  <c r="G69" i="1"/>
  <c r="D69" i="1"/>
  <c r="N68" i="1"/>
  <c r="G68" i="1"/>
  <c r="D68" i="1"/>
  <c r="N67" i="1"/>
  <c r="G67" i="1"/>
  <c r="D67" i="1"/>
  <c r="N66" i="1"/>
  <c r="G66" i="1"/>
  <c r="D66" i="1"/>
  <c r="N65" i="1"/>
  <c r="G65" i="1"/>
  <c r="D65" i="1"/>
  <c r="N64" i="1"/>
  <c r="G64" i="1"/>
  <c r="D64" i="1"/>
  <c r="N63" i="1"/>
  <c r="G63" i="1"/>
  <c r="D63" i="1"/>
  <c r="N62" i="1"/>
  <c r="G62" i="1"/>
  <c r="D62" i="1"/>
  <c r="N61" i="1"/>
  <c r="G61" i="1"/>
  <c r="D61" i="1"/>
  <c r="N60" i="1"/>
  <c r="G60" i="1"/>
  <c r="D60" i="1"/>
  <c r="N59" i="1"/>
  <c r="G59" i="1"/>
  <c r="D59" i="1"/>
  <c r="N58" i="1"/>
  <c r="G58" i="1"/>
  <c r="D58" i="1"/>
  <c r="N57" i="1"/>
  <c r="G57" i="1"/>
  <c r="D57" i="1"/>
  <c r="N56" i="1"/>
  <c r="G56" i="1"/>
  <c r="D56" i="1"/>
  <c r="N55" i="1"/>
  <c r="G55" i="1"/>
  <c r="D55" i="1"/>
  <c r="N54" i="1"/>
  <c r="G54" i="1"/>
  <c r="D54" i="1"/>
  <c r="N53" i="1"/>
  <c r="G53" i="1"/>
  <c r="D53" i="1"/>
  <c r="N52" i="1"/>
  <c r="G52" i="1"/>
  <c r="D52" i="1"/>
  <c r="F52" i="1" s="1"/>
  <c r="N51" i="1"/>
  <c r="G51" i="1"/>
  <c r="D51" i="1"/>
  <c r="N50" i="1"/>
  <c r="G50" i="1"/>
  <c r="D50" i="1"/>
  <c r="N49" i="1"/>
  <c r="G49" i="1"/>
  <c r="D49" i="1"/>
  <c r="N48" i="1"/>
  <c r="G48" i="1"/>
  <c r="D48" i="1"/>
  <c r="N47" i="1"/>
  <c r="G47" i="1"/>
  <c r="D47" i="1"/>
  <c r="N46" i="1"/>
  <c r="G46" i="1"/>
  <c r="D46" i="1"/>
  <c r="N45" i="1"/>
  <c r="G45" i="1"/>
  <c r="D45" i="1"/>
  <c r="N44" i="1"/>
  <c r="G44" i="1"/>
  <c r="D44" i="1"/>
  <c r="N43" i="1"/>
  <c r="G43" i="1"/>
  <c r="D43" i="1"/>
  <c r="N42" i="1"/>
  <c r="G42" i="1"/>
  <c r="D42" i="1"/>
  <c r="N41" i="1"/>
  <c r="G41" i="1"/>
  <c r="D41" i="1"/>
  <c r="N40" i="1"/>
  <c r="G40" i="1"/>
  <c r="F40" i="1" s="1"/>
  <c r="D40" i="1"/>
  <c r="N39" i="1"/>
  <c r="G39" i="1"/>
  <c r="F39" i="1" s="1"/>
  <c r="D39" i="1"/>
  <c r="N38" i="1"/>
  <c r="G38" i="1"/>
  <c r="F38" i="1" s="1"/>
  <c r="D38" i="1"/>
  <c r="N37" i="1"/>
  <c r="G37" i="1"/>
  <c r="D37" i="1"/>
  <c r="N36" i="1"/>
  <c r="G36" i="1"/>
  <c r="D36" i="1"/>
  <c r="N35" i="1"/>
  <c r="G35" i="1"/>
  <c r="D35" i="1"/>
  <c r="N34" i="1"/>
  <c r="G34" i="1"/>
  <c r="F34" i="1" s="1"/>
  <c r="D34" i="1"/>
  <c r="N33" i="1"/>
  <c r="G33" i="1"/>
  <c r="F33" i="1" s="1"/>
  <c r="D33" i="1"/>
  <c r="N32" i="1"/>
  <c r="G32" i="1"/>
  <c r="F32" i="1" s="1"/>
  <c r="D32" i="1"/>
  <c r="N31" i="1"/>
  <c r="G31" i="1"/>
  <c r="F31" i="1" s="1"/>
  <c r="D31" i="1"/>
  <c r="N30" i="1"/>
  <c r="G30" i="1"/>
  <c r="F30" i="1" s="1"/>
  <c r="D30" i="1"/>
  <c r="N29" i="1"/>
  <c r="G29" i="1"/>
  <c r="F29" i="1" s="1"/>
  <c r="D29" i="1"/>
  <c r="N28" i="1"/>
  <c r="G28" i="1"/>
  <c r="F28" i="1" s="1"/>
  <c r="D28" i="1"/>
  <c r="N27" i="1"/>
  <c r="G27" i="1"/>
  <c r="F27" i="1" s="1"/>
  <c r="D27" i="1"/>
  <c r="N26" i="1"/>
  <c r="G26" i="1"/>
  <c r="F26" i="1" s="1"/>
  <c r="D26" i="1"/>
  <c r="N25" i="1"/>
  <c r="G25" i="1"/>
  <c r="F25" i="1" s="1"/>
  <c r="D25" i="1"/>
  <c r="N24" i="1"/>
  <c r="G24" i="1"/>
  <c r="F24" i="1" s="1"/>
  <c r="D24" i="1"/>
  <c r="N23" i="1"/>
  <c r="G23" i="1"/>
  <c r="F23" i="1" s="1"/>
  <c r="D23" i="1"/>
  <c r="N22" i="1"/>
  <c r="G22" i="1"/>
  <c r="F22" i="1" s="1"/>
  <c r="D22" i="1"/>
  <c r="N21" i="1"/>
  <c r="G21" i="1"/>
  <c r="F21" i="1" s="1"/>
  <c r="D21" i="1"/>
  <c r="N20" i="1"/>
  <c r="G20" i="1"/>
  <c r="F20" i="1" s="1"/>
  <c r="D20" i="1"/>
  <c r="N19" i="1"/>
  <c r="G19" i="1"/>
  <c r="D19" i="1"/>
  <c r="J19" i="4" l="1"/>
  <c r="K19" i="4"/>
  <c r="I20" i="4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6" i="3"/>
  <c r="F45" i="3"/>
  <c r="F19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I19" i="3"/>
  <c r="F19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I19" i="2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1" i="1"/>
  <c r="F50" i="1"/>
  <c r="F49" i="1"/>
  <c r="F48" i="1"/>
  <c r="F47" i="1"/>
  <c r="F46" i="1"/>
  <c r="F45" i="1"/>
  <c r="F44" i="1"/>
  <c r="F43" i="1"/>
  <c r="F42" i="1"/>
  <c r="F41" i="1"/>
  <c r="F37" i="1"/>
  <c r="F36" i="1"/>
  <c r="F35" i="1"/>
  <c r="I19" i="1"/>
  <c r="F19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L19" i="4" l="1"/>
  <c r="M19" i="4" s="1"/>
  <c r="O19" i="4"/>
  <c r="P19" i="4"/>
  <c r="Q19" i="4"/>
  <c r="J20" i="4"/>
  <c r="K20" i="4"/>
  <c r="I21" i="4"/>
  <c r="J19" i="3"/>
  <c r="I20" i="3"/>
  <c r="K19" i="3"/>
  <c r="J19" i="2"/>
  <c r="I20" i="2"/>
  <c r="K19" i="2"/>
  <c r="J19" i="1"/>
  <c r="K19" i="1" s="1"/>
  <c r="I20" i="1"/>
  <c r="L20" i="4" l="1"/>
  <c r="M20" i="4" s="1"/>
  <c r="O20" i="4"/>
  <c r="P20" i="4"/>
  <c r="Q20" i="4"/>
  <c r="J21" i="4"/>
  <c r="K21" i="4"/>
  <c r="I22" i="4"/>
  <c r="O19" i="3"/>
  <c r="P19" i="3" s="1"/>
  <c r="L19" i="3"/>
  <c r="M19" i="3" s="1"/>
  <c r="Q19" i="3"/>
  <c r="J20" i="3"/>
  <c r="K20" i="3" s="1"/>
  <c r="I21" i="3"/>
  <c r="O19" i="2"/>
  <c r="P19" i="2" s="1"/>
  <c r="Q19" i="2"/>
  <c r="L19" i="2"/>
  <c r="M19" i="2" s="1"/>
  <c r="I21" i="2"/>
  <c r="J20" i="2"/>
  <c r="K20" i="2" s="1"/>
  <c r="L19" i="1"/>
  <c r="M19" i="1" s="1"/>
  <c r="O19" i="1"/>
  <c r="P19" i="1" s="1"/>
  <c r="Q19" i="1"/>
  <c r="J20" i="1"/>
  <c r="I21" i="1"/>
  <c r="K20" i="1"/>
  <c r="L21" i="4" l="1"/>
  <c r="M21" i="4" s="1"/>
  <c r="O21" i="4"/>
  <c r="P21" i="4"/>
  <c r="Q21" i="4"/>
  <c r="J22" i="4"/>
  <c r="K22" i="4"/>
  <c r="I23" i="4"/>
  <c r="L20" i="3"/>
  <c r="M20" i="3" s="1"/>
  <c r="O20" i="3"/>
  <c r="P20" i="3" s="1"/>
  <c r="Q20" i="3"/>
  <c r="I22" i="3"/>
  <c r="J21" i="3"/>
  <c r="K21" i="3"/>
  <c r="J21" i="2"/>
  <c r="K21" i="2"/>
  <c r="I22" i="2"/>
  <c r="O20" i="2"/>
  <c r="P20" i="2"/>
  <c r="Q20" i="2"/>
  <c r="L20" i="2"/>
  <c r="M20" i="2" s="1"/>
  <c r="L20" i="1"/>
  <c r="M20" i="1" s="1"/>
  <c r="O20" i="1"/>
  <c r="P20" i="1" s="1"/>
  <c r="Q20" i="1"/>
  <c r="J21" i="1"/>
  <c r="K21" i="1" s="1"/>
  <c r="I22" i="1"/>
  <c r="L22" i="4" l="1"/>
  <c r="M22" i="4" s="1"/>
  <c r="O22" i="4"/>
  <c r="P22" i="4"/>
  <c r="Q22" i="4"/>
  <c r="J23" i="4"/>
  <c r="K23" i="4"/>
  <c r="I24" i="4"/>
  <c r="I23" i="3"/>
  <c r="J22" i="3"/>
  <c r="K22" i="3" s="1"/>
  <c r="O21" i="3"/>
  <c r="P21" i="3" s="1"/>
  <c r="L21" i="3"/>
  <c r="M21" i="3" s="1"/>
  <c r="Q21" i="3"/>
  <c r="L21" i="2"/>
  <c r="M21" i="2" s="1"/>
  <c r="O21" i="2"/>
  <c r="P21" i="2" s="1"/>
  <c r="Q21" i="2"/>
  <c r="J22" i="2"/>
  <c r="K22" i="2"/>
  <c r="I23" i="2"/>
  <c r="L21" i="1"/>
  <c r="M21" i="1" s="1"/>
  <c r="O21" i="1"/>
  <c r="P21" i="1" s="1"/>
  <c r="Q21" i="1"/>
  <c r="J22" i="1"/>
  <c r="K22" i="1"/>
  <c r="I23" i="1"/>
  <c r="L23" i="4" l="1"/>
  <c r="M23" i="4" s="1"/>
  <c r="O23" i="4"/>
  <c r="P23" i="4"/>
  <c r="Q23" i="4"/>
  <c r="J24" i="4"/>
  <c r="K24" i="4"/>
  <c r="I25" i="4"/>
  <c r="J23" i="3"/>
  <c r="I24" i="3"/>
  <c r="K23" i="3"/>
  <c r="O22" i="3"/>
  <c r="P22" i="3" s="1"/>
  <c r="L22" i="3"/>
  <c r="M22" i="3" s="1"/>
  <c r="Q22" i="3"/>
  <c r="L22" i="2"/>
  <c r="M22" i="2" s="1"/>
  <c r="O22" i="2"/>
  <c r="P22" i="2" s="1"/>
  <c r="Q22" i="2"/>
  <c r="I24" i="2"/>
  <c r="J23" i="2"/>
  <c r="K23" i="2" s="1"/>
  <c r="L22" i="1"/>
  <c r="M22" i="1" s="1"/>
  <c r="O22" i="1"/>
  <c r="P22" i="1" s="1"/>
  <c r="Q22" i="1"/>
  <c r="I24" i="1"/>
  <c r="J23" i="1"/>
  <c r="K23" i="1"/>
  <c r="L24" i="4" l="1"/>
  <c r="M24" i="4" s="1"/>
  <c r="O24" i="4"/>
  <c r="P24" i="4"/>
  <c r="Q24" i="4"/>
  <c r="J25" i="4"/>
  <c r="K25" i="4"/>
  <c r="I26" i="4"/>
  <c r="L23" i="3"/>
  <c r="M23" i="3" s="1"/>
  <c r="O23" i="3"/>
  <c r="P23" i="3" s="1"/>
  <c r="Q23" i="3"/>
  <c r="I25" i="3"/>
  <c r="J24" i="3"/>
  <c r="K24" i="3" s="1"/>
  <c r="J24" i="2"/>
  <c r="K24" i="2"/>
  <c r="I25" i="2"/>
  <c r="L23" i="2"/>
  <c r="M23" i="2" s="1"/>
  <c r="O23" i="2"/>
  <c r="P23" i="2"/>
  <c r="Q23" i="2"/>
  <c r="J24" i="1"/>
  <c r="K24" i="1"/>
  <c r="I25" i="1"/>
  <c r="L23" i="1"/>
  <c r="M23" i="1" s="1"/>
  <c r="O23" i="1"/>
  <c r="P23" i="1" s="1"/>
  <c r="Q23" i="1"/>
  <c r="L25" i="4" l="1"/>
  <c r="M25" i="4" s="1"/>
  <c r="O25" i="4"/>
  <c r="P25" i="4"/>
  <c r="Q25" i="4"/>
  <c r="J26" i="4"/>
  <c r="K26" i="4"/>
  <c r="I27" i="4"/>
  <c r="J25" i="3"/>
  <c r="K25" i="3" s="1"/>
  <c r="I26" i="3"/>
  <c r="O24" i="3"/>
  <c r="P24" i="3" s="1"/>
  <c r="Q24" i="3"/>
  <c r="L24" i="3"/>
  <c r="M24" i="3" s="1"/>
  <c r="L24" i="2"/>
  <c r="M24" i="2" s="1"/>
  <c r="O24" i="2"/>
  <c r="P24" i="2"/>
  <c r="Q24" i="2"/>
  <c r="J25" i="2"/>
  <c r="K25" i="2"/>
  <c r="I26" i="2"/>
  <c r="L24" i="1"/>
  <c r="M24" i="1" s="1"/>
  <c r="O24" i="1"/>
  <c r="P24" i="1" s="1"/>
  <c r="Q24" i="1"/>
  <c r="J25" i="1"/>
  <c r="K25" i="1"/>
  <c r="I26" i="1"/>
  <c r="L26" i="4" l="1"/>
  <c r="M26" i="4" s="1"/>
  <c r="O26" i="4"/>
  <c r="P26" i="4"/>
  <c r="Q26" i="4"/>
  <c r="J27" i="4"/>
  <c r="K27" i="4" s="1"/>
  <c r="I28" i="4"/>
  <c r="Q25" i="3"/>
  <c r="L25" i="3"/>
  <c r="M25" i="3" s="1"/>
  <c r="O25" i="3"/>
  <c r="P25" i="3" s="1"/>
  <c r="K26" i="3"/>
  <c r="J26" i="3"/>
  <c r="I27" i="3"/>
  <c r="L25" i="2"/>
  <c r="M25" i="2" s="1"/>
  <c r="O25" i="2"/>
  <c r="P25" i="2" s="1"/>
  <c r="Q25" i="2"/>
  <c r="J26" i="2"/>
  <c r="I27" i="2"/>
  <c r="K26" i="2"/>
  <c r="L25" i="1"/>
  <c r="M25" i="1" s="1"/>
  <c r="O25" i="1"/>
  <c r="P25" i="1" s="1"/>
  <c r="Q25" i="1"/>
  <c r="J26" i="1"/>
  <c r="I27" i="1"/>
  <c r="K26" i="1"/>
  <c r="L27" i="4" l="1"/>
  <c r="M27" i="4" s="1"/>
  <c r="O27" i="4"/>
  <c r="P27" i="4"/>
  <c r="Q27" i="4"/>
  <c r="J28" i="4"/>
  <c r="K28" i="4"/>
  <c r="I29" i="4"/>
  <c r="L26" i="3"/>
  <c r="M26" i="3" s="1"/>
  <c r="O26" i="3"/>
  <c r="P26" i="3" s="1"/>
  <c r="Q26" i="3"/>
  <c r="J27" i="3"/>
  <c r="K27" i="3"/>
  <c r="I28" i="3"/>
  <c r="L26" i="2"/>
  <c r="M26" i="2" s="1"/>
  <c r="O26" i="2"/>
  <c r="P26" i="2"/>
  <c r="Q26" i="2"/>
  <c r="J27" i="2"/>
  <c r="K27" i="2"/>
  <c r="I28" i="2"/>
  <c r="L26" i="1"/>
  <c r="M26" i="1" s="1"/>
  <c r="O26" i="1"/>
  <c r="P26" i="1" s="1"/>
  <c r="Q26" i="1"/>
  <c r="I28" i="1"/>
  <c r="J27" i="1"/>
  <c r="K27" i="1" s="1"/>
  <c r="L28" i="4" l="1"/>
  <c r="M28" i="4" s="1"/>
  <c r="O28" i="4"/>
  <c r="P28" i="4"/>
  <c r="Q28" i="4"/>
  <c r="J29" i="4"/>
  <c r="K29" i="4" s="1"/>
  <c r="I30" i="4"/>
  <c r="L27" i="3"/>
  <c r="M27" i="3" s="1"/>
  <c r="O27" i="3"/>
  <c r="P27" i="3" s="1"/>
  <c r="Q27" i="3"/>
  <c r="I29" i="3"/>
  <c r="J28" i="3"/>
  <c r="K28" i="3" s="1"/>
  <c r="L27" i="2"/>
  <c r="M27" i="2" s="1"/>
  <c r="O27" i="2"/>
  <c r="P27" i="2"/>
  <c r="Q27" i="2"/>
  <c r="J28" i="2"/>
  <c r="K28" i="2"/>
  <c r="I29" i="2"/>
  <c r="J28" i="1"/>
  <c r="K28" i="1" s="1"/>
  <c r="I29" i="1"/>
  <c r="O27" i="1"/>
  <c r="P27" i="1" s="1"/>
  <c r="Q27" i="1"/>
  <c r="L27" i="1"/>
  <c r="M27" i="1" s="1"/>
  <c r="L29" i="4" l="1"/>
  <c r="M29" i="4" s="1"/>
  <c r="O29" i="4"/>
  <c r="P29" i="4" s="1"/>
  <c r="Q29" i="4"/>
  <c r="J30" i="4"/>
  <c r="K30" i="4"/>
  <c r="I31" i="4"/>
  <c r="I30" i="3"/>
  <c r="J29" i="3"/>
  <c r="K29" i="3" s="1"/>
  <c r="L28" i="3"/>
  <c r="M28" i="3" s="1"/>
  <c r="Q28" i="3"/>
  <c r="O28" i="3"/>
  <c r="P28" i="3" s="1"/>
  <c r="L28" i="2"/>
  <c r="M28" i="2" s="1"/>
  <c r="O28" i="2"/>
  <c r="P28" i="2"/>
  <c r="Q28" i="2"/>
  <c r="J29" i="2"/>
  <c r="K29" i="2" s="1"/>
  <c r="I30" i="2"/>
  <c r="L28" i="1"/>
  <c r="M28" i="1" s="1"/>
  <c r="O28" i="1"/>
  <c r="P28" i="1" s="1"/>
  <c r="Q28" i="1"/>
  <c r="J29" i="1"/>
  <c r="K29" i="1"/>
  <c r="I30" i="1"/>
  <c r="L30" i="4" l="1"/>
  <c r="M30" i="4" s="1"/>
  <c r="O30" i="4"/>
  <c r="P30" i="4"/>
  <c r="Q30" i="4"/>
  <c r="J31" i="4"/>
  <c r="K31" i="4"/>
  <c r="I32" i="4"/>
  <c r="J30" i="3"/>
  <c r="K30" i="3" s="1"/>
  <c r="I31" i="3"/>
  <c r="Q29" i="3"/>
  <c r="L29" i="3"/>
  <c r="M29" i="3" s="1"/>
  <c r="O29" i="3"/>
  <c r="P29" i="3" s="1"/>
  <c r="L29" i="2"/>
  <c r="M29" i="2" s="1"/>
  <c r="O29" i="2"/>
  <c r="P29" i="2"/>
  <c r="Q29" i="2"/>
  <c r="J30" i="2"/>
  <c r="K30" i="2"/>
  <c r="I31" i="2"/>
  <c r="L29" i="1"/>
  <c r="M29" i="1" s="1"/>
  <c r="O29" i="1"/>
  <c r="P29" i="1" s="1"/>
  <c r="Q29" i="1"/>
  <c r="J30" i="1"/>
  <c r="K30" i="1" s="1"/>
  <c r="I31" i="1"/>
  <c r="L31" i="4" l="1"/>
  <c r="M31" i="4" s="1"/>
  <c r="O31" i="4"/>
  <c r="P31" i="4"/>
  <c r="Q31" i="4"/>
  <c r="J32" i="4"/>
  <c r="K32" i="4"/>
  <c r="I33" i="4"/>
  <c r="L30" i="3"/>
  <c r="M30" i="3" s="1"/>
  <c r="Q30" i="3"/>
  <c r="O30" i="3"/>
  <c r="P30" i="3" s="1"/>
  <c r="I32" i="3"/>
  <c r="K31" i="3"/>
  <c r="J31" i="3"/>
  <c r="L30" i="2"/>
  <c r="M30" i="2" s="1"/>
  <c r="O30" i="2"/>
  <c r="P30" i="2"/>
  <c r="Q30" i="2"/>
  <c r="J31" i="2"/>
  <c r="K31" i="2"/>
  <c r="I32" i="2"/>
  <c r="L30" i="1"/>
  <c r="M30" i="1" s="1"/>
  <c r="O30" i="1"/>
  <c r="P30" i="1" s="1"/>
  <c r="Q30" i="1"/>
  <c r="I32" i="1"/>
  <c r="J31" i="1"/>
  <c r="K31" i="1" s="1"/>
  <c r="L32" i="4" l="1"/>
  <c r="M32" i="4" s="1"/>
  <c r="O32" i="4"/>
  <c r="P32" i="4"/>
  <c r="Q32" i="4"/>
  <c r="J33" i="4"/>
  <c r="K33" i="4"/>
  <c r="I34" i="4"/>
  <c r="I33" i="3"/>
  <c r="J32" i="3"/>
  <c r="K32" i="3" s="1"/>
  <c r="L31" i="3"/>
  <c r="M31" i="3" s="1"/>
  <c r="Q31" i="3"/>
  <c r="O31" i="3"/>
  <c r="P31" i="3" s="1"/>
  <c r="L31" i="2"/>
  <c r="M31" i="2" s="1"/>
  <c r="O31" i="2"/>
  <c r="P31" i="2"/>
  <c r="Q31" i="2"/>
  <c r="J32" i="2"/>
  <c r="K32" i="2" s="1"/>
  <c r="I33" i="2"/>
  <c r="J32" i="1"/>
  <c r="K32" i="1"/>
  <c r="I33" i="1"/>
  <c r="L31" i="1"/>
  <c r="M31" i="1" s="1"/>
  <c r="O31" i="1"/>
  <c r="P31" i="1" s="1"/>
  <c r="Q31" i="1"/>
  <c r="L33" i="4" l="1"/>
  <c r="M33" i="4" s="1"/>
  <c r="O33" i="4"/>
  <c r="P33" i="4"/>
  <c r="Q33" i="4"/>
  <c r="J34" i="4"/>
  <c r="K34" i="4" s="1"/>
  <c r="I35" i="4"/>
  <c r="J33" i="3"/>
  <c r="K33" i="3" s="1"/>
  <c r="I34" i="3"/>
  <c r="Q32" i="3"/>
  <c r="L32" i="3"/>
  <c r="M32" i="3" s="1"/>
  <c r="O32" i="3"/>
  <c r="P32" i="3" s="1"/>
  <c r="L32" i="2"/>
  <c r="M32" i="2" s="1"/>
  <c r="O32" i="2"/>
  <c r="P32" i="2"/>
  <c r="Q32" i="2"/>
  <c r="J33" i="2"/>
  <c r="K33" i="2"/>
  <c r="I34" i="2"/>
  <c r="L32" i="1"/>
  <c r="M32" i="1" s="1"/>
  <c r="O32" i="1"/>
  <c r="P32" i="1" s="1"/>
  <c r="Q32" i="1"/>
  <c r="K33" i="1"/>
  <c r="J33" i="1"/>
  <c r="I34" i="1"/>
  <c r="L34" i="4" l="1"/>
  <c r="M34" i="4" s="1"/>
  <c r="O34" i="4"/>
  <c r="P34" i="4" s="1"/>
  <c r="Q34" i="4"/>
  <c r="J35" i="4"/>
  <c r="K35" i="4" s="1"/>
  <c r="I36" i="4"/>
  <c r="L33" i="3"/>
  <c r="M33" i="3" s="1"/>
  <c r="Q33" i="3"/>
  <c r="O33" i="3"/>
  <c r="P33" i="3" s="1"/>
  <c r="I35" i="3"/>
  <c r="J34" i="3"/>
  <c r="K34" i="3" s="1"/>
  <c r="L33" i="2"/>
  <c r="M33" i="2" s="1"/>
  <c r="O33" i="2"/>
  <c r="P33" i="2"/>
  <c r="Q33" i="2"/>
  <c r="J34" i="2"/>
  <c r="K34" i="2"/>
  <c r="I35" i="2"/>
  <c r="L33" i="1"/>
  <c r="M33" i="1" s="1"/>
  <c r="O33" i="1"/>
  <c r="P33" i="1" s="1"/>
  <c r="Q33" i="1"/>
  <c r="J34" i="1"/>
  <c r="K34" i="1"/>
  <c r="I35" i="1"/>
  <c r="L35" i="4" l="1"/>
  <c r="M35" i="4" s="1"/>
  <c r="O35" i="4"/>
  <c r="P35" i="4"/>
  <c r="Q35" i="4"/>
  <c r="J36" i="4"/>
  <c r="K36" i="4"/>
  <c r="I37" i="4"/>
  <c r="J35" i="3"/>
  <c r="K35" i="3" s="1"/>
  <c r="I36" i="3"/>
  <c r="L34" i="3"/>
  <c r="M34" i="3" s="1"/>
  <c r="Q34" i="3"/>
  <c r="O34" i="3"/>
  <c r="P34" i="3" s="1"/>
  <c r="L34" i="2"/>
  <c r="M34" i="2" s="1"/>
  <c r="O34" i="2"/>
  <c r="P34" i="2"/>
  <c r="Q34" i="2"/>
  <c r="J35" i="2"/>
  <c r="K35" i="2"/>
  <c r="I36" i="2"/>
  <c r="L34" i="1"/>
  <c r="M34" i="1" s="1"/>
  <c r="O34" i="1"/>
  <c r="P34" i="1" s="1"/>
  <c r="Q34" i="1"/>
  <c r="J35" i="1"/>
  <c r="K35" i="1" s="1"/>
  <c r="I36" i="1"/>
  <c r="L36" i="4" l="1"/>
  <c r="M36" i="4" s="1"/>
  <c r="O36" i="4"/>
  <c r="P36" i="4"/>
  <c r="Q36" i="4"/>
  <c r="J37" i="4"/>
  <c r="K37" i="4"/>
  <c r="I38" i="4"/>
  <c r="L35" i="3"/>
  <c r="M35" i="3" s="1"/>
  <c r="O35" i="3"/>
  <c r="P35" i="3" s="1"/>
  <c r="Q35" i="3"/>
  <c r="J36" i="3"/>
  <c r="K36" i="3"/>
  <c r="I37" i="3"/>
  <c r="L35" i="2"/>
  <c r="M35" i="2" s="1"/>
  <c r="O35" i="2"/>
  <c r="P35" i="2"/>
  <c r="Q35" i="2"/>
  <c r="J36" i="2"/>
  <c r="K36" i="2"/>
  <c r="I37" i="2"/>
  <c r="L35" i="1"/>
  <c r="M35" i="1" s="1"/>
  <c r="O35" i="1"/>
  <c r="P35" i="1" s="1"/>
  <c r="Q35" i="1"/>
  <c r="J36" i="1"/>
  <c r="K36" i="1"/>
  <c r="I37" i="1"/>
  <c r="L37" i="4" l="1"/>
  <c r="M37" i="4" s="1"/>
  <c r="O37" i="4"/>
  <c r="P37" i="4"/>
  <c r="Q37" i="4"/>
  <c r="J38" i="4"/>
  <c r="K38" i="4"/>
  <c r="I39" i="4"/>
  <c r="L36" i="3"/>
  <c r="M36" i="3" s="1"/>
  <c r="O36" i="3"/>
  <c r="P36" i="3" s="1"/>
  <c r="Q36" i="3"/>
  <c r="J37" i="3"/>
  <c r="K37" i="3"/>
  <c r="I38" i="3"/>
  <c r="L36" i="2"/>
  <c r="M36" i="2" s="1"/>
  <c r="O36" i="2"/>
  <c r="P36" i="2"/>
  <c r="Q36" i="2"/>
  <c r="J37" i="2"/>
  <c r="K37" i="2"/>
  <c r="I38" i="2"/>
  <c r="L36" i="1"/>
  <c r="M36" i="1" s="1"/>
  <c r="O36" i="1"/>
  <c r="P36" i="1" s="1"/>
  <c r="Q36" i="1"/>
  <c r="J37" i="1"/>
  <c r="K37" i="1"/>
  <c r="I38" i="1"/>
  <c r="L38" i="4" l="1"/>
  <c r="M38" i="4" s="1"/>
  <c r="O38" i="4"/>
  <c r="P38" i="4"/>
  <c r="Q38" i="4"/>
  <c r="J39" i="4"/>
  <c r="K39" i="4" s="1"/>
  <c r="I40" i="4"/>
  <c r="L37" i="3"/>
  <c r="M37" i="3" s="1"/>
  <c r="Q37" i="3"/>
  <c r="O37" i="3"/>
  <c r="P37" i="3" s="1"/>
  <c r="J38" i="3"/>
  <c r="K38" i="3" s="1"/>
  <c r="I39" i="3"/>
  <c r="L37" i="2"/>
  <c r="M37" i="2" s="1"/>
  <c r="O37" i="2"/>
  <c r="P37" i="2"/>
  <c r="Q37" i="2"/>
  <c r="J38" i="2"/>
  <c r="K38" i="2"/>
  <c r="I39" i="2"/>
  <c r="L37" i="1"/>
  <c r="M37" i="1" s="1"/>
  <c r="O37" i="1"/>
  <c r="P37" i="1" s="1"/>
  <c r="Q37" i="1"/>
  <c r="J38" i="1"/>
  <c r="K38" i="1"/>
  <c r="I39" i="1"/>
  <c r="L39" i="4" l="1"/>
  <c r="M39" i="4" s="1"/>
  <c r="O39" i="4"/>
  <c r="P39" i="4" s="1"/>
  <c r="Q39" i="4"/>
  <c r="J40" i="4"/>
  <c r="K40" i="4"/>
  <c r="I41" i="4"/>
  <c r="L38" i="3"/>
  <c r="M38" i="3" s="1"/>
  <c r="O38" i="3"/>
  <c r="P38" i="3" s="1"/>
  <c r="Q38" i="3"/>
  <c r="J39" i="3"/>
  <c r="K39" i="3" s="1"/>
  <c r="I40" i="3"/>
  <c r="L38" i="2"/>
  <c r="M38" i="2" s="1"/>
  <c r="O38" i="2"/>
  <c r="P38" i="2"/>
  <c r="Q38" i="2"/>
  <c r="J39" i="2"/>
  <c r="K39" i="2"/>
  <c r="I40" i="2"/>
  <c r="L38" i="1"/>
  <c r="M38" i="1" s="1"/>
  <c r="O38" i="1"/>
  <c r="P38" i="1" s="1"/>
  <c r="Q38" i="1"/>
  <c r="I40" i="1"/>
  <c r="J39" i="1"/>
  <c r="K39" i="1"/>
  <c r="L40" i="4" l="1"/>
  <c r="M40" i="4" s="1"/>
  <c r="O40" i="4"/>
  <c r="P40" i="4" s="1"/>
  <c r="Q40" i="4"/>
  <c r="J41" i="4"/>
  <c r="K41" i="4"/>
  <c r="I42" i="4"/>
  <c r="L39" i="3"/>
  <c r="M39" i="3" s="1"/>
  <c r="O39" i="3"/>
  <c r="P39" i="3" s="1"/>
  <c r="Q39" i="3"/>
  <c r="J40" i="3"/>
  <c r="K40" i="3" s="1"/>
  <c r="I41" i="3"/>
  <c r="L39" i="2"/>
  <c r="M39" i="2" s="1"/>
  <c r="O39" i="2"/>
  <c r="P39" i="2" s="1"/>
  <c r="Q39" i="2"/>
  <c r="J40" i="2"/>
  <c r="K40" i="2"/>
  <c r="I41" i="2"/>
  <c r="J40" i="1"/>
  <c r="K40" i="1"/>
  <c r="I41" i="1"/>
  <c r="L39" i="1"/>
  <c r="M39" i="1" s="1"/>
  <c r="O39" i="1"/>
  <c r="P39" i="1" s="1"/>
  <c r="Q39" i="1"/>
  <c r="L41" i="4" l="1"/>
  <c r="M41" i="4" s="1"/>
  <c r="O41" i="4"/>
  <c r="P41" i="4"/>
  <c r="Q41" i="4"/>
  <c r="J42" i="4"/>
  <c r="K42" i="4" s="1"/>
  <c r="I43" i="4"/>
  <c r="L40" i="3"/>
  <c r="M40" i="3" s="1"/>
  <c r="O40" i="3"/>
  <c r="P40" i="3" s="1"/>
  <c r="Q40" i="3"/>
  <c r="J41" i="3"/>
  <c r="I42" i="3"/>
  <c r="K41" i="3"/>
  <c r="L40" i="2"/>
  <c r="M40" i="2" s="1"/>
  <c r="O40" i="2"/>
  <c r="P40" i="2"/>
  <c r="Q40" i="2"/>
  <c r="J41" i="2"/>
  <c r="K41" i="2"/>
  <c r="I42" i="2"/>
  <c r="L40" i="1"/>
  <c r="M40" i="1" s="1"/>
  <c r="O40" i="1"/>
  <c r="P40" i="1" s="1"/>
  <c r="Q40" i="1"/>
  <c r="J41" i="1"/>
  <c r="K41" i="1"/>
  <c r="I42" i="1"/>
  <c r="L42" i="4" l="1"/>
  <c r="M42" i="4" s="1"/>
  <c r="O42" i="4"/>
  <c r="P42" i="4"/>
  <c r="Q42" i="4"/>
  <c r="J43" i="4"/>
  <c r="K43" i="4" s="1"/>
  <c r="I44" i="4"/>
  <c r="L41" i="3"/>
  <c r="M41" i="3" s="1"/>
  <c r="O41" i="3"/>
  <c r="P41" i="3" s="1"/>
  <c r="Q41" i="3"/>
  <c r="J42" i="3"/>
  <c r="K42" i="3" s="1"/>
  <c r="I43" i="3"/>
  <c r="L41" i="2"/>
  <c r="M41" i="2" s="1"/>
  <c r="O41" i="2"/>
  <c r="P41" i="2"/>
  <c r="Q41" i="2"/>
  <c r="J42" i="2"/>
  <c r="K42" i="2"/>
  <c r="I43" i="2"/>
  <c r="L41" i="1"/>
  <c r="M41" i="1" s="1"/>
  <c r="O41" i="1"/>
  <c r="P41" i="1" s="1"/>
  <c r="Q41" i="1"/>
  <c r="J42" i="1"/>
  <c r="K42" i="1"/>
  <c r="I43" i="1"/>
  <c r="L43" i="4" l="1"/>
  <c r="M43" i="4" s="1"/>
  <c r="O43" i="4"/>
  <c r="P43" i="4"/>
  <c r="Q43" i="4"/>
  <c r="J44" i="4"/>
  <c r="K44" i="4"/>
  <c r="I45" i="4"/>
  <c r="L42" i="3"/>
  <c r="M42" i="3" s="1"/>
  <c r="O42" i="3"/>
  <c r="P42" i="3" s="1"/>
  <c r="Q42" i="3"/>
  <c r="J43" i="3"/>
  <c r="K43" i="3"/>
  <c r="I44" i="3"/>
  <c r="L42" i="2"/>
  <c r="M42" i="2" s="1"/>
  <c r="O42" i="2"/>
  <c r="P42" i="2"/>
  <c r="Q42" i="2"/>
  <c r="J43" i="2"/>
  <c r="K43" i="2"/>
  <c r="I44" i="2"/>
  <c r="L42" i="1"/>
  <c r="M42" i="1" s="1"/>
  <c r="O42" i="1"/>
  <c r="P42" i="1" s="1"/>
  <c r="Q42" i="1"/>
  <c r="J43" i="1"/>
  <c r="K43" i="1" s="1"/>
  <c r="I44" i="1"/>
  <c r="L44" i="4" l="1"/>
  <c r="M44" i="4" s="1"/>
  <c r="O44" i="4"/>
  <c r="P44" i="4"/>
  <c r="Q44" i="4"/>
  <c r="J45" i="4"/>
  <c r="K45" i="4"/>
  <c r="I46" i="4"/>
  <c r="L43" i="3"/>
  <c r="M43" i="3" s="1"/>
  <c r="O43" i="3"/>
  <c r="P43" i="3" s="1"/>
  <c r="Q43" i="3"/>
  <c r="J44" i="3"/>
  <c r="K44" i="3"/>
  <c r="I45" i="3"/>
  <c r="L43" i="2"/>
  <c r="M43" i="2" s="1"/>
  <c r="O43" i="2"/>
  <c r="P43" i="2"/>
  <c r="Q43" i="2"/>
  <c r="J44" i="2"/>
  <c r="K44" i="2"/>
  <c r="I45" i="2"/>
  <c r="L43" i="1"/>
  <c r="M43" i="1" s="1"/>
  <c r="O43" i="1"/>
  <c r="P43" i="1" s="1"/>
  <c r="Q43" i="1"/>
  <c r="J44" i="1"/>
  <c r="K44" i="1"/>
  <c r="I45" i="1"/>
  <c r="L45" i="4" l="1"/>
  <c r="M45" i="4" s="1"/>
  <c r="O45" i="4"/>
  <c r="P45" i="4"/>
  <c r="Q45" i="4"/>
  <c r="J46" i="4"/>
  <c r="K46" i="4"/>
  <c r="I47" i="4"/>
  <c r="L44" i="3"/>
  <c r="M44" i="3" s="1"/>
  <c r="O44" i="3"/>
  <c r="P44" i="3" s="1"/>
  <c r="Q44" i="3"/>
  <c r="J45" i="3"/>
  <c r="K45" i="3"/>
  <c r="I46" i="3"/>
  <c r="L44" i="2"/>
  <c r="M44" i="2" s="1"/>
  <c r="O44" i="2"/>
  <c r="P44" i="2"/>
  <c r="Q44" i="2"/>
  <c r="J45" i="2"/>
  <c r="K45" i="2"/>
  <c r="I46" i="2"/>
  <c r="L44" i="1"/>
  <c r="M44" i="1" s="1"/>
  <c r="O44" i="1"/>
  <c r="P44" i="1" s="1"/>
  <c r="Q44" i="1"/>
  <c r="J45" i="1"/>
  <c r="K45" i="1"/>
  <c r="I46" i="1"/>
  <c r="L46" i="4" l="1"/>
  <c r="M46" i="4" s="1"/>
  <c r="O46" i="4"/>
  <c r="P46" i="4"/>
  <c r="Q46" i="4"/>
  <c r="J47" i="4"/>
  <c r="K47" i="4" s="1"/>
  <c r="I48" i="4"/>
  <c r="L45" i="3"/>
  <c r="M45" i="3" s="1"/>
  <c r="O45" i="3"/>
  <c r="P45" i="3" s="1"/>
  <c r="Q45" i="3"/>
  <c r="J46" i="3"/>
  <c r="K46" i="3" s="1"/>
  <c r="I47" i="3"/>
  <c r="L45" i="2"/>
  <c r="M45" i="2" s="1"/>
  <c r="O45" i="2"/>
  <c r="P45" i="2" s="1"/>
  <c r="Q45" i="2"/>
  <c r="J46" i="2"/>
  <c r="K46" i="2" s="1"/>
  <c r="I47" i="2"/>
  <c r="L45" i="1"/>
  <c r="M45" i="1" s="1"/>
  <c r="O45" i="1"/>
  <c r="P45" i="1" s="1"/>
  <c r="Q45" i="1"/>
  <c r="J46" i="1"/>
  <c r="K46" i="1"/>
  <c r="I47" i="1"/>
  <c r="L47" i="4" l="1"/>
  <c r="M47" i="4" s="1"/>
  <c r="O47" i="4"/>
  <c r="P47" i="4"/>
  <c r="Q47" i="4"/>
  <c r="J48" i="4"/>
  <c r="K48" i="4" s="1"/>
  <c r="I49" i="4"/>
  <c r="L46" i="3"/>
  <c r="M46" i="3" s="1"/>
  <c r="O46" i="3"/>
  <c r="P46" i="3" s="1"/>
  <c r="Q46" i="3"/>
  <c r="J47" i="3"/>
  <c r="K47" i="3" s="1"/>
  <c r="I48" i="3"/>
  <c r="L46" i="2"/>
  <c r="M46" i="2" s="1"/>
  <c r="O46" i="2"/>
  <c r="P46" i="2"/>
  <c r="Q46" i="2"/>
  <c r="J47" i="2"/>
  <c r="K47" i="2"/>
  <c r="I48" i="2"/>
  <c r="L46" i="1"/>
  <c r="M46" i="1" s="1"/>
  <c r="O46" i="1"/>
  <c r="P46" i="1" s="1"/>
  <c r="Q46" i="1"/>
  <c r="J47" i="1"/>
  <c r="K47" i="1" s="1"/>
  <c r="I48" i="1"/>
  <c r="L48" i="4" l="1"/>
  <c r="M48" i="4" s="1"/>
  <c r="O48" i="4"/>
  <c r="P48" i="4"/>
  <c r="Q48" i="4"/>
  <c r="J49" i="4"/>
  <c r="K49" i="4"/>
  <c r="I50" i="4"/>
  <c r="L47" i="3"/>
  <c r="M47" i="3" s="1"/>
  <c r="O47" i="3"/>
  <c r="P47" i="3" s="1"/>
  <c r="Q47" i="3"/>
  <c r="I49" i="3"/>
  <c r="J48" i="3"/>
  <c r="K48" i="3" s="1"/>
  <c r="L47" i="2"/>
  <c r="M47" i="2" s="1"/>
  <c r="O47" i="2"/>
  <c r="P47" i="2" s="1"/>
  <c r="Q47" i="2"/>
  <c r="J48" i="2"/>
  <c r="K48" i="2"/>
  <c r="I49" i="2"/>
  <c r="L47" i="1"/>
  <c r="M47" i="1" s="1"/>
  <c r="O47" i="1"/>
  <c r="P47" i="1" s="1"/>
  <c r="Q47" i="1"/>
  <c r="J48" i="1"/>
  <c r="K48" i="1" s="1"/>
  <c r="I49" i="1"/>
  <c r="L49" i="4" l="1"/>
  <c r="M49" i="4" s="1"/>
  <c r="O49" i="4"/>
  <c r="P49" i="4"/>
  <c r="Q49" i="4"/>
  <c r="J50" i="4"/>
  <c r="K50" i="4"/>
  <c r="I51" i="4"/>
  <c r="J49" i="3"/>
  <c r="K49" i="3"/>
  <c r="I50" i="3"/>
  <c r="L48" i="3"/>
  <c r="M48" i="3" s="1"/>
  <c r="O48" i="3"/>
  <c r="P48" i="3" s="1"/>
  <c r="Q48" i="3"/>
  <c r="L48" i="2"/>
  <c r="M48" i="2" s="1"/>
  <c r="O48" i="2"/>
  <c r="P48" i="2" s="1"/>
  <c r="Q48" i="2"/>
  <c r="J49" i="2"/>
  <c r="K49" i="2" s="1"/>
  <c r="I50" i="2"/>
  <c r="L48" i="1"/>
  <c r="M48" i="1" s="1"/>
  <c r="O48" i="1"/>
  <c r="P48" i="1" s="1"/>
  <c r="Q48" i="1"/>
  <c r="J49" i="1"/>
  <c r="K49" i="1"/>
  <c r="I50" i="1"/>
  <c r="L50" i="4" l="1"/>
  <c r="M50" i="4" s="1"/>
  <c r="O50" i="4"/>
  <c r="P50" i="4"/>
  <c r="Q50" i="4"/>
  <c r="J51" i="4"/>
  <c r="K51" i="4"/>
  <c r="I52" i="4"/>
  <c r="L49" i="3"/>
  <c r="M49" i="3" s="1"/>
  <c r="O49" i="3"/>
  <c r="P49" i="3" s="1"/>
  <c r="Q49" i="3"/>
  <c r="J50" i="3"/>
  <c r="K50" i="3"/>
  <c r="I51" i="3"/>
  <c r="L49" i="2"/>
  <c r="M49" i="2" s="1"/>
  <c r="O49" i="2"/>
  <c r="P49" i="2" s="1"/>
  <c r="Q49" i="2"/>
  <c r="J50" i="2"/>
  <c r="K50" i="2" s="1"/>
  <c r="I51" i="2"/>
  <c r="L49" i="1"/>
  <c r="M49" i="1" s="1"/>
  <c r="O49" i="1"/>
  <c r="P49" i="1" s="1"/>
  <c r="Q49" i="1"/>
  <c r="J50" i="1"/>
  <c r="K50" i="1"/>
  <c r="I51" i="1"/>
  <c r="L51" i="4" l="1"/>
  <c r="M51" i="4" s="1"/>
  <c r="O51" i="4"/>
  <c r="P51" i="4"/>
  <c r="Q51" i="4"/>
  <c r="J52" i="4"/>
  <c r="I53" i="4"/>
  <c r="K52" i="4"/>
  <c r="L50" i="3"/>
  <c r="M50" i="3" s="1"/>
  <c r="O50" i="3"/>
  <c r="P50" i="3" s="1"/>
  <c r="Q50" i="3"/>
  <c r="J51" i="3"/>
  <c r="K51" i="3"/>
  <c r="I52" i="3"/>
  <c r="L50" i="2"/>
  <c r="M50" i="2" s="1"/>
  <c r="O50" i="2"/>
  <c r="P50" i="2"/>
  <c r="Q50" i="2"/>
  <c r="J51" i="2"/>
  <c r="K51" i="2"/>
  <c r="I52" i="2"/>
  <c r="L50" i="1"/>
  <c r="M50" i="1" s="1"/>
  <c r="O50" i="1"/>
  <c r="P50" i="1" s="1"/>
  <c r="Q50" i="1"/>
  <c r="J51" i="1"/>
  <c r="K51" i="1"/>
  <c r="I52" i="1"/>
  <c r="L52" i="4" l="1"/>
  <c r="M52" i="4" s="1"/>
  <c r="Q52" i="4"/>
  <c r="O52" i="4"/>
  <c r="P52" i="4"/>
  <c r="J53" i="4"/>
  <c r="K53" i="4" s="1"/>
  <c r="I54" i="4"/>
  <c r="L51" i="3"/>
  <c r="M51" i="3" s="1"/>
  <c r="O51" i="3"/>
  <c r="P51" i="3" s="1"/>
  <c r="Q51" i="3"/>
  <c r="J52" i="3"/>
  <c r="K52" i="3"/>
  <c r="I53" i="3"/>
  <c r="L51" i="2"/>
  <c r="M51" i="2" s="1"/>
  <c r="O51" i="2"/>
  <c r="P51" i="2"/>
  <c r="Q51" i="2"/>
  <c r="J52" i="2"/>
  <c r="K52" i="2" s="1"/>
  <c r="I53" i="2"/>
  <c r="L51" i="1"/>
  <c r="M51" i="1" s="1"/>
  <c r="O51" i="1"/>
  <c r="P51" i="1" s="1"/>
  <c r="Q51" i="1"/>
  <c r="J52" i="1"/>
  <c r="K52" i="1"/>
  <c r="I53" i="1"/>
  <c r="L53" i="4" l="1"/>
  <c r="M53" i="4" s="1"/>
  <c r="O53" i="4"/>
  <c r="P53" i="4"/>
  <c r="Q53" i="4"/>
  <c r="J54" i="4"/>
  <c r="K54" i="4" s="1"/>
  <c r="I55" i="4"/>
  <c r="L52" i="3"/>
  <c r="M52" i="3" s="1"/>
  <c r="O52" i="3"/>
  <c r="P52" i="3" s="1"/>
  <c r="Q52" i="3"/>
  <c r="J53" i="3"/>
  <c r="K53" i="3"/>
  <c r="I54" i="3"/>
  <c r="L52" i="2"/>
  <c r="M52" i="2" s="1"/>
  <c r="O52" i="2"/>
  <c r="P52" i="2" s="1"/>
  <c r="Q52" i="2"/>
  <c r="J53" i="2"/>
  <c r="K53" i="2"/>
  <c r="I54" i="2"/>
  <c r="L52" i="1"/>
  <c r="M52" i="1" s="1"/>
  <c r="O52" i="1"/>
  <c r="P52" i="1" s="1"/>
  <c r="Q52" i="1"/>
  <c r="J53" i="1"/>
  <c r="K53" i="1" s="1"/>
  <c r="I54" i="1"/>
  <c r="L54" i="4" l="1"/>
  <c r="M54" i="4" s="1"/>
  <c r="O54" i="4"/>
  <c r="Q54" i="4"/>
  <c r="P54" i="4"/>
  <c r="J55" i="4"/>
  <c r="I56" i="4"/>
  <c r="K55" i="4"/>
  <c r="L53" i="3"/>
  <c r="M53" i="3" s="1"/>
  <c r="O53" i="3"/>
  <c r="P53" i="3" s="1"/>
  <c r="Q53" i="3"/>
  <c r="J54" i="3"/>
  <c r="I55" i="3"/>
  <c r="K54" i="3"/>
  <c r="L53" i="2"/>
  <c r="M53" i="2" s="1"/>
  <c r="O53" i="2"/>
  <c r="P53" i="2"/>
  <c r="Q53" i="2"/>
  <c r="J54" i="2"/>
  <c r="K54" i="2" s="1"/>
  <c r="I55" i="2"/>
  <c r="L53" i="1"/>
  <c r="M53" i="1" s="1"/>
  <c r="O53" i="1"/>
  <c r="P53" i="1" s="1"/>
  <c r="Q53" i="1"/>
  <c r="J54" i="1"/>
  <c r="K54" i="1"/>
  <c r="I55" i="1"/>
  <c r="L55" i="4" l="1"/>
  <c r="M55" i="4" s="1"/>
  <c r="O55" i="4"/>
  <c r="Q55" i="4"/>
  <c r="P55" i="4"/>
  <c r="I57" i="4"/>
  <c r="J56" i="4"/>
  <c r="K56" i="4" s="1"/>
  <c r="O54" i="3"/>
  <c r="P54" i="3" s="1"/>
  <c r="Q54" i="3"/>
  <c r="L54" i="3"/>
  <c r="M54" i="3" s="1"/>
  <c r="J55" i="3"/>
  <c r="K55" i="3"/>
  <c r="I56" i="3"/>
  <c r="L54" i="2"/>
  <c r="M54" i="2" s="1"/>
  <c r="O54" i="2"/>
  <c r="P54" i="2"/>
  <c r="Q54" i="2"/>
  <c r="J55" i="2"/>
  <c r="K55" i="2"/>
  <c r="I56" i="2"/>
  <c r="L54" i="1"/>
  <c r="M54" i="1" s="1"/>
  <c r="O54" i="1"/>
  <c r="P54" i="1" s="1"/>
  <c r="Q54" i="1"/>
  <c r="J55" i="1"/>
  <c r="K55" i="1"/>
  <c r="I56" i="1"/>
  <c r="J57" i="4" l="1"/>
  <c r="I58" i="4"/>
  <c r="K57" i="4"/>
  <c r="L56" i="4"/>
  <c r="M56" i="4" s="1"/>
  <c r="O56" i="4"/>
  <c r="Q56" i="4"/>
  <c r="P56" i="4"/>
  <c r="L55" i="3"/>
  <c r="M55" i="3" s="1"/>
  <c r="O55" i="3"/>
  <c r="P55" i="3" s="1"/>
  <c r="Q55" i="3"/>
  <c r="J56" i="3"/>
  <c r="K56" i="3" s="1"/>
  <c r="I57" i="3"/>
  <c r="L55" i="2"/>
  <c r="M55" i="2" s="1"/>
  <c r="O55" i="2"/>
  <c r="P55" i="2"/>
  <c r="Q55" i="2"/>
  <c r="J56" i="2"/>
  <c r="K56" i="2"/>
  <c r="I57" i="2"/>
  <c r="L55" i="1"/>
  <c r="M55" i="1" s="1"/>
  <c r="O55" i="1"/>
  <c r="P55" i="1" s="1"/>
  <c r="Q55" i="1"/>
  <c r="J56" i="1"/>
  <c r="K56" i="1"/>
  <c r="I57" i="1"/>
  <c r="L57" i="4" l="1"/>
  <c r="M57" i="4" s="1"/>
  <c r="O57" i="4"/>
  <c r="Q57" i="4"/>
  <c r="P57" i="4"/>
  <c r="I59" i="4"/>
  <c r="J58" i="4"/>
  <c r="K58" i="4" s="1"/>
  <c r="O56" i="3"/>
  <c r="P56" i="3" s="1"/>
  <c r="Q56" i="3"/>
  <c r="L56" i="3"/>
  <c r="M56" i="3" s="1"/>
  <c r="I58" i="3"/>
  <c r="J57" i="3"/>
  <c r="K57" i="3" s="1"/>
  <c r="L56" i="2"/>
  <c r="M56" i="2" s="1"/>
  <c r="O56" i="2"/>
  <c r="P56" i="2"/>
  <c r="Q56" i="2"/>
  <c r="J57" i="2"/>
  <c r="K57" i="2"/>
  <c r="I58" i="2"/>
  <c r="L56" i="1"/>
  <c r="M56" i="1" s="1"/>
  <c r="O56" i="1"/>
  <c r="P56" i="1" s="1"/>
  <c r="Q56" i="1"/>
  <c r="J57" i="1"/>
  <c r="K57" i="1"/>
  <c r="I58" i="1"/>
  <c r="J59" i="4" l="1"/>
  <c r="K59" i="4" s="1"/>
  <c r="I60" i="4"/>
  <c r="L58" i="4"/>
  <c r="M58" i="4" s="1"/>
  <c r="O58" i="4"/>
  <c r="P58" i="4"/>
  <c r="Q58" i="4"/>
  <c r="J58" i="3"/>
  <c r="K58" i="3" s="1"/>
  <c r="I59" i="3"/>
  <c r="L57" i="3"/>
  <c r="M57" i="3" s="1"/>
  <c r="O57" i="3"/>
  <c r="P57" i="3" s="1"/>
  <c r="Q57" i="3"/>
  <c r="L57" i="2"/>
  <c r="M57" i="2" s="1"/>
  <c r="O57" i="2"/>
  <c r="P57" i="2"/>
  <c r="Q57" i="2"/>
  <c r="J58" i="2"/>
  <c r="K58" i="2" s="1"/>
  <c r="I59" i="2"/>
  <c r="L57" i="1"/>
  <c r="M57" i="1" s="1"/>
  <c r="O57" i="1"/>
  <c r="P57" i="1" s="1"/>
  <c r="Q57" i="1"/>
  <c r="J58" i="1"/>
  <c r="K58" i="1"/>
  <c r="I59" i="1"/>
  <c r="L59" i="4" l="1"/>
  <c r="M59" i="4" s="1"/>
  <c r="O59" i="4"/>
  <c r="P59" i="4"/>
  <c r="Q59" i="4"/>
  <c r="J60" i="4"/>
  <c r="K60" i="4" s="1"/>
  <c r="I61" i="4"/>
  <c r="L58" i="3"/>
  <c r="M58" i="3" s="1"/>
  <c r="O58" i="3"/>
  <c r="P58" i="3" s="1"/>
  <c r="Q58" i="3"/>
  <c r="I60" i="3"/>
  <c r="J59" i="3"/>
  <c r="K59" i="3" s="1"/>
  <c r="L58" i="2"/>
  <c r="M58" i="2" s="1"/>
  <c r="O58" i="2"/>
  <c r="P58" i="2" s="1"/>
  <c r="Q58" i="2"/>
  <c r="J59" i="2"/>
  <c r="K59" i="2" s="1"/>
  <c r="I60" i="2"/>
  <c r="L58" i="1"/>
  <c r="M58" i="1" s="1"/>
  <c r="O58" i="1"/>
  <c r="P58" i="1" s="1"/>
  <c r="Q58" i="1"/>
  <c r="J59" i="1"/>
  <c r="K59" i="1" s="1"/>
  <c r="I60" i="1"/>
  <c r="L60" i="4" l="1"/>
  <c r="M60" i="4" s="1"/>
  <c r="O60" i="4"/>
  <c r="Q60" i="4"/>
  <c r="P60" i="4"/>
  <c r="I62" i="4"/>
  <c r="J61" i="4"/>
  <c r="K61" i="4" s="1"/>
  <c r="J60" i="3"/>
  <c r="K60" i="3"/>
  <c r="I61" i="3"/>
  <c r="L59" i="3"/>
  <c r="M59" i="3" s="1"/>
  <c r="O59" i="3"/>
  <c r="P59" i="3" s="1"/>
  <c r="Q59" i="3"/>
  <c r="L59" i="2"/>
  <c r="M59" i="2" s="1"/>
  <c r="O59" i="2"/>
  <c r="P59" i="2"/>
  <c r="Q59" i="2"/>
  <c r="J60" i="2"/>
  <c r="K60" i="2" s="1"/>
  <c r="I61" i="2"/>
  <c r="L59" i="1"/>
  <c r="M59" i="1" s="1"/>
  <c r="O59" i="1"/>
  <c r="P59" i="1" s="1"/>
  <c r="Q59" i="1"/>
  <c r="J60" i="1"/>
  <c r="K60" i="1"/>
  <c r="I61" i="1"/>
  <c r="J62" i="4" l="1"/>
  <c r="K62" i="4"/>
  <c r="I63" i="4"/>
  <c r="L61" i="4"/>
  <c r="M61" i="4" s="1"/>
  <c r="O61" i="4"/>
  <c r="P61" i="4"/>
  <c r="Q61" i="4"/>
  <c r="L60" i="3"/>
  <c r="M60" i="3" s="1"/>
  <c r="O60" i="3"/>
  <c r="P60" i="3" s="1"/>
  <c r="Q60" i="3"/>
  <c r="J61" i="3"/>
  <c r="K61" i="3" s="1"/>
  <c r="I62" i="3"/>
  <c r="L60" i="2"/>
  <c r="M60" i="2" s="1"/>
  <c r="O60" i="2"/>
  <c r="P60" i="2" s="1"/>
  <c r="Q60" i="2"/>
  <c r="J61" i="2"/>
  <c r="K61" i="2"/>
  <c r="I62" i="2"/>
  <c r="L60" i="1"/>
  <c r="M60" i="1" s="1"/>
  <c r="O60" i="1"/>
  <c r="P60" i="1" s="1"/>
  <c r="Q60" i="1"/>
  <c r="J61" i="1"/>
  <c r="K61" i="1"/>
  <c r="I62" i="1"/>
  <c r="L62" i="4" l="1"/>
  <c r="M62" i="4" s="1"/>
  <c r="O62" i="4"/>
  <c r="P62" i="4"/>
  <c r="Q62" i="4"/>
  <c r="J63" i="4"/>
  <c r="K63" i="4"/>
  <c r="I64" i="4"/>
  <c r="L61" i="3"/>
  <c r="M61" i="3" s="1"/>
  <c r="O61" i="3"/>
  <c r="P61" i="3" s="1"/>
  <c r="Q61" i="3"/>
  <c r="J62" i="3"/>
  <c r="K62" i="3" s="1"/>
  <c r="I63" i="3"/>
  <c r="L61" i="2"/>
  <c r="M61" i="2" s="1"/>
  <c r="O61" i="2"/>
  <c r="P61" i="2" s="1"/>
  <c r="Q61" i="2"/>
  <c r="J62" i="2"/>
  <c r="K62" i="2"/>
  <c r="I63" i="2"/>
  <c r="L61" i="1"/>
  <c r="M61" i="1" s="1"/>
  <c r="O61" i="1"/>
  <c r="P61" i="1" s="1"/>
  <c r="Q61" i="1"/>
  <c r="J62" i="1"/>
  <c r="K62" i="1" s="1"/>
  <c r="I63" i="1"/>
  <c r="L63" i="4" l="1"/>
  <c r="M63" i="4" s="1"/>
  <c r="O63" i="4"/>
  <c r="P63" i="4"/>
  <c r="Q63" i="4"/>
  <c r="J64" i="4"/>
  <c r="K64" i="4"/>
  <c r="I65" i="4"/>
  <c r="L62" i="3"/>
  <c r="M62" i="3" s="1"/>
  <c r="O62" i="3"/>
  <c r="P62" i="3" s="1"/>
  <c r="Q62" i="3"/>
  <c r="J63" i="3"/>
  <c r="K63" i="3" s="1"/>
  <c r="I64" i="3"/>
  <c r="L62" i="2"/>
  <c r="M62" i="2" s="1"/>
  <c r="O62" i="2"/>
  <c r="P62" i="2"/>
  <c r="Q62" i="2"/>
  <c r="J63" i="2"/>
  <c r="K63" i="2"/>
  <c r="I64" i="2"/>
  <c r="L62" i="1"/>
  <c r="M62" i="1" s="1"/>
  <c r="O62" i="1"/>
  <c r="P62" i="1" s="1"/>
  <c r="Q62" i="1"/>
  <c r="J63" i="1"/>
  <c r="K63" i="1"/>
  <c r="I64" i="1"/>
  <c r="L64" i="4" l="1"/>
  <c r="M64" i="4" s="1"/>
  <c r="O64" i="4"/>
  <c r="P64" i="4"/>
  <c r="Q64" i="4"/>
  <c r="J65" i="4"/>
  <c r="K65" i="4"/>
  <c r="I66" i="4"/>
  <c r="L63" i="3"/>
  <c r="M63" i="3" s="1"/>
  <c r="O63" i="3"/>
  <c r="P63" i="3" s="1"/>
  <c r="Q63" i="3"/>
  <c r="J64" i="3"/>
  <c r="K64" i="3"/>
  <c r="I65" i="3"/>
  <c r="L63" i="2"/>
  <c r="M63" i="2" s="1"/>
  <c r="O63" i="2"/>
  <c r="P63" i="2"/>
  <c r="Q63" i="2"/>
  <c r="J64" i="2"/>
  <c r="K64" i="2"/>
  <c r="I65" i="2"/>
  <c r="L63" i="1"/>
  <c r="M63" i="1" s="1"/>
  <c r="O63" i="1"/>
  <c r="P63" i="1" s="1"/>
  <c r="Q63" i="1"/>
  <c r="J64" i="1"/>
  <c r="K64" i="1"/>
  <c r="I65" i="1"/>
  <c r="L65" i="4" l="1"/>
  <c r="M65" i="4" s="1"/>
  <c r="O65" i="4"/>
  <c r="P65" i="4" s="1"/>
  <c r="Q65" i="4"/>
  <c r="J66" i="4"/>
  <c r="K66" i="4"/>
  <c r="I67" i="4"/>
  <c r="L64" i="3"/>
  <c r="M64" i="3" s="1"/>
  <c r="O64" i="3"/>
  <c r="P64" i="3" s="1"/>
  <c r="Q64" i="3"/>
  <c r="J65" i="3"/>
  <c r="K65" i="3"/>
  <c r="I66" i="3"/>
  <c r="L64" i="2"/>
  <c r="M64" i="2" s="1"/>
  <c r="O64" i="2"/>
  <c r="P64" i="2"/>
  <c r="Q64" i="2"/>
  <c r="J65" i="2"/>
  <c r="K65" i="2"/>
  <c r="I66" i="2"/>
  <c r="L64" i="1"/>
  <c r="M64" i="1" s="1"/>
  <c r="O64" i="1"/>
  <c r="P64" i="1" s="1"/>
  <c r="Q64" i="1"/>
  <c r="J65" i="1"/>
  <c r="K65" i="1"/>
  <c r="I66" i="1"/>
  <c r="L66" i="4" l="1"/>
  <c r="M66" i="4" s="1"/>
  <c r="O66" i="4"/>
  <c r="P66" i="4"/>
  <c r="Q66" i="4"/>
  <c r="J67" i="4"/>
  <c r="K67" i="4"/>
  <c r="I68" i="4"/>
  <c r="L65" i="3"/>
  <c r="M65" i="3" s="1"/>
  <c r="O65" i="3"/>
  <c r="P65" i="3" s="1"/>
  <c r="Q65" i="3"/>
  <c r="J66" i="3"/>
  <c r="K66" i="3"/>
  <c r="I67" i="3"/>
  <c r="L65" i="2"/>
  <c r="M65" i="2" s="1"/>
  <c r="O65" i="2"/>
  <c r="P65" i="2"/>
  <c r="Q65" i="2"/>
  <c r="J66" i="2"/>
  <c r="K66" i="2" s="1"/>
  <c r="I67" i="2"/>
  <c r="L65" i="1"/>
  <c r="M65" i="1" s="1"/>
  <c r="O65" i="1"/>
  <c r="P65" i="1" s="1"/>
  <c r="Q65" i="1"/>
  <c r="J66" i="1"/>
  <c r="K66" i="1" s="1"/>
  <c r="I67" i="1"/>
  <c r="L67" i="4" l="1"/>
  <c r="M67" i="4" s="1"/>
  <c r="O67" i="4"/>
  <c r="P67" i="4"/>
  <c r="Q67" i="4"/>
  <c r="J68" i="4"/>
  <c r="K68" i="4" s="1"/>
  <c r="I69" i="4"/>
  <c r="L66" i="3"/>
  <c r="M66" i="3" s="1"/>
  <c r="O66" i="3"/>
  <c r="P66" i="3" s="1"/>
  <c r="Q66" i="3"/>
  <c r="J67" i="3"/>
  <c r="K67" i="3" s="1"/>
  <c r="I68" i="3"/>
  <c r="L66" i="2"/>
  <c r="M66" i="2" s="1"/>
  <c r="O66" i="2"/>
  <c r="P66" i="2"/>
  <c r="Q66" i="2"/>
  <c r="J67" i="2"/>
  <c r="K67" i="2" s="1"/>
  <c r="I68" i="2"/>
  <c r="L66" i="1"/>
  <c r="M66" i="1" s="1"/>
  <c r="O66" i="1"/>
  <c r="P66" i="1" s="1"/>
  <c r="Q66" i="1"/>
  <c r="J67" i="1"/>
  <c r="K67" i="1"/>
  <c r="I68" i="1"/>
  <c r="L68" i="4" l="1"/>
  <c r="M68" i="4" s="1"/>
  <c r="O68" i="4"/>
  <c r="P68" i="4"/>
  <c r="Q68" i="4"/>
  <c r="J69" i="4"/>
  <c r="K69" i="4" s="1"/>
  <c r="I70" i="4"/>
  <c r="L67" i="3"/>
  <c r="M67" i="3" s="1"/>
  <c r="O67" i="3"/>
  <c r="P67" i="3" s="1"/>
  <c r="Q67" i="3"/>
  <c r="J68" i="3"/>
  <c r="K68" i="3"/>
  <c r="I69" i="3"/>
  <c r="L67" i="2"/>
  <c r="M67" i="2" s="1"/>
  <c r="O67" i="2"/>
  <c r="P67" i="2" s="1"/>
  <c r="Q67" i="2"/>
  <c r="J68" i="2"/>
  <c r="K68" i="2"/>
  <c r="I69" i="2"/>
  <c r="L67" i="1"/>
  <c r="M67" i="1" s="1"/>
  <c r="O67" i="1"/>
  <c r="P67" i="1" s="1"/>
  <c r="Q67" i="1"/>
  <c r="J68" i="1"/>
  <c r="K68" i="1"/>
  <c r="I69" i="1"/>
  <c r="L69" i="4" l="1"/>
  <c r="M69" i="4" s="1"/>
  <c r="O69" i="4"/>
  <c r="P69" i="4"/>
  <c r="Q69" i="4"/>
  <c r="J70" i="4"/>
  <c r="K70" i="4" s="1"/>
  <c r="I71" i="4"/>
  <c r="L68" i="3"/>
  <c r="M68" i="3" s="1"/>
  <c r="O68" i="3"/>
  <c r="P68" i="3" s="1"/>
  <c r="Q68" i="3"/>
  <c r="J69" i="3"/>
  <c r="K69" i="3"/>
  <c r="I70" i="3"/>
  <c r="L68" i="2"/>
  <c r="M68" i="2" s="1"/>
  <c r="O68" i="2"/>
  <c r="P68" i="2"/>
  <c r="Q68" i="2"/>
  <c r="J69" i="2"/>
  <c r="K69" i="2"/>
  <c r="I70" i="2"/>
  <c r="L68" i="1"/>
  <c r="M68" i="1" s="1"/>
  <c r="O68" i="1"/>
  <c r="P68" i="1" s="1"/>
  <c r="Q68" i="1"/>
  <c r="J69" i="1"/>
  <c r="K69" i="1"/>
  <c r="I70" i="1"/>
  <c r="L70" i="4" l="1"/>
  <c r="M70" i="4" s="1"/>
  <c r="O70" i="4"/>
  <c r="P70" i="4"/>
  <c r="Q70" i="4"/>
  <c r="J71" i="4"/>
  <c r="K71" i="4" s="1"/>
  <c r="I72" i="4"/>
  <c r="L69" i="3"/>
  <c r="M69" i="3" s="1"/>
  <c r="O69" i="3"/>
  <c r="P69" i="3" s="1"/>
  <c r="Q69" i="3"/>
  <c r="J70" i="3"/>
  <c r="K70" i="3"/>
  <c r="I71" i="3"/>
  <c r="L69" i="2"/>
  <c r="M69" i="2" s="1"/>
  <c r="O69" i="2"/>
  <c r="P69" i="2" s="1"/>
  <c r="Q69" i="2"/>
  <c r="J70" i="2"/>
  <c r="K70" i="2" s="1"/>
  <c r="I71" i="2"/>
  <c r="L69" i="1"/>
  <c r="M69" i="1" s="1"/>
  <c r="O69" i="1"/>
  <c r="P69" i="1" s="1"/>
  <c r="Q69" i="1"/>
  <c r="J70" i="1"/>
  <c r="K70" i="1"/>
  <c r="I71" i="1"/>
  <c r="L71" i="4" l="1"/>
  <c r="M71" i="4" s="1"/>
  <c r="O71" i="4"/>
  <c r="P71" i="4"/>
  <c r="Q71" i="4"/>
  <c r="J72" i="4"/>
  <c r="K72" i="4"/>
  <c r="I73" i="4"/>
  <c r="L70" i="3"/>
  <c r="M70" i="3" s="1"/>
  <c r="O70" i="3"/>
  <c r="P70" i="3" s="1"/>
  <c r="Q70" i="3"/>
  <c r="J71" i="3"/>
  <c r="K71" i="3" s="1"/>
  <c r="I72" i="3"/>
  <c r="L70" i="2"/>
  <c r="M70" i="2" s="1"/>
  <c r="O70" i="2"/>
  <c r="P70" i="2"/>
  <c r="Q70" i="2"/>
  <c r="J71" i="2"/>
  <c r="K71" i="2" s="1"/>
  <c r="I72" i="2"/>
  <c r="L70" i="1"/>
  <c r="M70" i="1" s="1"/>
  <c r="O70" i="1"/>
  <c r="P70" i="1" s="1"/>
  <c r="Q70" i="1"/>
  <c r="J71" i="1"/>
  <c r="K71" i="1" s="1"/>
  <c r="I72" i="1"/>
  <c r="L72" i="4" l="1"/>
  <c r="M72" i="4" s="1"/>
  <c r="O72" i="4"/>
  <c r="P72" i="4"/>
  <c r="Q72" i="4"/>
  <c r="J73" i="4"/>
  <c r="K73" i="4"/>
  <c r="I74" i="4"/>
  <c r="L71" i="3"/>
  <c r="M71" i="3" s="1"/>
  <c r="O71" i="3"/>
  <c r="P71" i="3" s="1"/>
  <c r="Q71" i="3"/>
  <c r="J72" i="3"/>
  <c r="K72" i="3"/>
  <c r="I73" i="3"/>
  <c r="L71" i="2"/>
  <c r="M71" i="2" s="1"/>
  <c r="O71" i="2"/>
  <c r="P71" i="2"/>
  <c r="Q71" i="2"/>
  <c r="J72" i="2"/>
  <c r="K72" i="2"/>
  <c r="I73" i="2"/>
  <c r="L71" i="1"/>
  <c r="M71" i="1" s="1"/>
  <c r="O71" i="1"/>
  <c r="P71" i="1" s="1"/>
  <c r="Q71" i="1"/>
  <c r="J72" i="1"/>
  <c r="K72" i="1"/>
  <c r="I73" i="1"/>
  <c r="L73" i="4" l="1"/>
  <c r="M73" i="4" s="1"/>
  <c r="O73" i="4"/>
  <c r="P73" i="4"/>
  <c r="Q73" i="4"/>
  <c r="J74" i="4"/>
  <c r="K74" i="4"/>
  <c r="I75" i="4"/>
  <c r="L72" i="3"/>
  <c r="M72" i="3" s="1"/>
  <c r="O72" i="3"/>
  <c r="P72" i="3" s="1"/>
  <c r="Q72" i="3"/>
  <c r="J73" i="3"/>
  <c r="K73" i="3"/>
  <c r="I74" i="3"/>
  <c r="L72" i="2"/>
  <c r="M72" i="2" s="1"/>
  <c r="O72" i="2"/>
  <c r="P72" i="2"/>
  <c r="Q72" i="2"/>
  <c r="J73" i="2"/>
  <c r="K73" i="2" s="1"/>
  <c r="I74" i="2"/>
  <c r="L72" i="1"/>
  <c r="M72" i="1" s="1"/>
  <c r="O72" i="1"/>
  <c r="P72" i="1" s="1"/>
  <c r="Q72" i="1"/>
  <c r="J73" i="1"/>
  <c r="K73" i="1"/>
  <c r="I74" i="1"/>
  <c r="L74" i="4" l="1"/>
  <c r="M74" i="4" s="1"/>
  <c r="O74" i="4"/>
  <c r="P74" i="4"/>
  <c r="Q74" i="4"/>
  <c r="J75" i="4"/>
  <c r="K75" i="4"/>
  <c r="I76" i="4"/>
  <c r="L73" i="3"/>
  <c r="M73" i="3" s="1"/>
  <c r="O73" i="3"/>
  <c r="P73" i="3" s="1"/>
  <c r="Q73" i="3"/>
  <c r="J74" i="3"/>
  <c r="K74" i="3" s="1"/>
  <c r="I75" i="3"/>
  <c r="L73" i="2"/>
  <c r="M73" i="2" s="1"/>
  <c r="O73" i="2"/>
  <c r="P73" i="2" s="1"/>
  <c r="Q73" i="2"/>
  <c r="J74" i="2"/>
  <c r="K74" i="2"/>
  <c r="I75" i="2"/>
  <c r="L73" i="1"/>
  <c r="M73" i="1" s="1"/>
  <c r="O73" i="1"/>
  <c r="P73" i="1" s="1"/>
  <c r="Q73" i="1"/>
  <c r="J74" i="1"/>
  <c r="K74" i="1"/>
  <c r="I75" i="1"/>
  <c r="L75" i="4" l="1"/>
  <c r="M75" i="4" s="1"/>
  <c r="O75" i="4"/>
  <c r="P75" i="4" s="1"/>
  <c r="Q75" i="4"/>
  <c r="J76" i="4"/>
  <c r="K76" i="4"/>
  <c r="I77" i="4"/>
  <c r="L74" i="3"/>
  <c r="M74" i="3" s="1"/>
  <c r="O74" i="3"/>
  <c r="P74" i="3" s="1"/>
  <c r="Q74" i="3"/>
  <c r="J75" i="3"/>
  <c r="K75" i="3"/>
  <c r="I76" i="3"/>
  <c r="L74" i="2"/>
  <c r="M74" i="2" s="1"/>
  <c r="O74" i="2"/>
  <c r="P74" i="2"/>
  <c r="Q74" i="2"/>
  <c r="J75" i="2"/>
  <c r="K75" i="2"/>
  <c r="I76" i="2"/>
  <c r="L74" i="1"/>
  <c r="M74" i="1" s="1"/>
  <c r="O74" i="1"/>
  <c r="P74" i="1" s="1"/>
  <c r="Q74" i="1"/>
  <c r="J75" i="1"/>
  <c r="K75" i="1" s="1"/>
  <c r="I76" i="1"/>
  <c r="L76" i="4" l="1"/>
  <c r="M76" i="4" s="1"/>
  <c r="O76" i="4"/>
  <c r="P76" i="4"/>
  <c r="Q76" i="4"/>
  <c r="J77" i="4"/>
  <c r="K77" i="4"/>
  <c r="I78" i="4"/>
  <c r="L75" i="3"/>
  <c r="M75" i="3" s="1"/>
  <c r="O75" i="3"/>
  <c r="P75" i="3" s="1"/>
  <c r="Q75" i="3"/>
  <c r="J76" i="3"/>
  <c r="K76" i="3"/>
  <c r="I77" i="3"/>
  <c r="L75" i="2"/>
  <c r="M75" i="2" s="1"/>
  <c r="O75" i="2"/>
  <c r="P75" i="2" s="1"/>
  <c r="Q75" i="2"/>
  <c r="J76" i="2"/>
  <c r="K76" i="2" s="1"/>
  <c r="I77" i="2"/>
  <c r="L75" i="1"/>
  <c r="M75" i="1" s="1"/>
  <c r="O75" i="1"/>
  <c r="P75" i="1" s="1"/>
  <c r="Q75" i="1"/>
  <c r="J76" i="1"/>
  <c r="K76" i="1"/>
  <c r="I77" i="1"/>
  <c r="L77" i="4" l="1"/>
  <c r="M77" i="4" s="1"/>
  <c r="O77" i="4"/>
  <c r="P77" i="4"/>
  <c r="Q77" i="4"/>
  <c r="J78" i="4"/>
  <c r="K78" i="4"/>
  <c r="I79" i="4"/>
  <c r="L76" i="3"/>
  <c r="M76" i="3" s="1"/>
  <c r="O76" i="3"/>
  <c r="P76" i="3" s="1"/>
  <c r="Q76" i="3"/>
  <c r="J77" i="3"/>
  <c r="K77" i="3"/>
  <c r="I78" i="3"/>
  <c r="L76" i="2"/>
  <c r="M76" i="2" s="1"/>
  <c r="O76" i="2"/>
  <c r="P76" i="2" s="1"/>
  <c r="Q76" i="2"/>
  <c r="J77" i="2"/>
  <c r="K77" i="2" s="1"/>
  <c r="I78" i="2"/>
  <c r="L76" i="1"/>
  <c r="M76" i="1" s="1"/>
  <c r="O76" i="1"/>
  <c r="P76" i="1" s="1"/>
  <c r="Q76" i="1"/>
  <c r="J77" i="1"/>
  <c r="K77" i="1"/>
  <c r="I78" i="1"/>
  <c r="L78" i="4" l="1"/>
  <c r="M78" i="4" s="1"/>
  <c r="O78" i="4"/>
  <c r="P78" i="4"/>
  <c r="Q78" i="4"/>
  <c r="J79" i="4"/>
  <c r="K79" i="4"/>
  <c r="I80" i="4"/>
  <c r="L77" i="3"/>
  <c r="M77" i="3" s="1"/>
  <c r="O77" i="3"/>
  <c r="P77" i="3" s="1"/>
  <c r="Q77" i="3"/>
  <c r="J78" i="3"/>
  <c r="K78" i="3"/>
  <c r="I79" i="3"/>
  <c r="L77" i="2"/>
  <c r="M77" i="2" s="1"/>
  <c r="O77" i="2"/>
  <c r="P77" i="2" s="1"/>
  <c r="Q77" i="2"/>
  <c r="J78" i="2"/>
  <c r="K78" i="2" s="1"/>
  <c r="I79" i="2"/>
  <c r="L77" i="1"/>
  <c r="M77" i="1" s="1"/>
  <c r="O77" i="1"/>
  <c r="P77" i="1" s="1"/>
  <c r="Q77" i="1"/>
  <c r="J78" i="1"/>
  <c r="K78" i="1"/>
  <c r="I79" i="1"/>
  <c r="L79" i="4" l="1"/>
  <c r="M79" i="4" s="1"/>
  <c r="O79" i="4"/>
  <c r="P79" i="4"/>
  <c r="Q79" i="4"/>
  <c r="J80" i="4"/>
  <c r="K80" i="4"/>
  <c r="I81" i="4"/>
  <c r="L78" i="3"/>
  <c r="M78" i="3" s="1"/>
  <c r="O78" i="3"/>
  <c r="P78" i="3" s="1"/>
  <c r="Q78" i="3"/>
  <c r="J79" i="3"/>
  <c r="K79" i="3"/>
  <c r="I80" i="3"/>
  <c r="L78" i="2"/>
  <c r="M78" i="2" s="1"/>
  <c r="O78" i="2"/>
  <c r="P78" i="2"/>
  <c r="Q78" i="2"/>
  <c r="J79" i="2"/>
  <c r="K79" i="2"/>
  <c r="I80" i="2"/>
  <c r="L78" i="1"/>
  <c r="M78" i="1" s="1"/>
  <c r="O78" i="1"/>
  <c r="P78" i="1" s="1"/>
  <c r="Q78" i="1"/>
  <c r="J79" i="1"/>
  <c r="K79" i="1" s="1"/>
  <c r="I80" i="1"/>
  <c r="L80" i="4" l="1"/>
  <c r="M80" i="4" s="1"/>
  <c r="O80" i="4"/>
  <c r="P80" i="4"/>
  <c r="Q80" i="4"/>
  <c r="J81" i="4"/>
  <c r="K81" i="4"/>
  <c r="I82" i="4"/>
  <c r="L79" i="3"/>
  <c r="M79" i="3" s="1"/>
  <c r="O79" i="3"/>
  <c r="P79" i="3" s="1"/>
  <c r="Q79" i="3"/>
  <c r="J80" i="3"/>
  <c r="K80" i="3"/>
  <c r="I81" i="3"/>
  <c r="L79" i="2"/>
  <c r="M79" i="2" s="1"/>
  <c r="O79" i="2"/>
  <c r="P79" i="2"/>
  <c r="Q79" i="2"/>
  <c r="J80" i="2"/>
  <c r="K80" i="2"/>
  <c r="I81" i="2"/>
  <c r="L79" i="1"/>
  <c r="M79" i="1" s="1"/>
  <c r="O79" i="1"/>
  <c r="P79" i="1" s="1"/>
  <c r="Q79" i="1"/>
  <c r="J80" i="1"/>
  <c r="K80" i="1"/>
  <c r="I81" i="1"/>
  <c r="L81" i="4" l="1"/>
  <c r="M81" i="4" s="1"/>
  <c r="O81" i="4"/>
  <c r="P81" i="4"/>
  <c r="Q81" i="4"/>
  <c r="J82" i="4"/>
  <c r="K82" i="4"/>
  <c r="I83" i="4"/>
  <c r="L80" i="3"/>
  <c r="M80" i="3" s="1"/>
  <c r="O80" i="3"/>
  <c r="P80" i="3" s="1"/>
  <c r="Q80" i="3"/>
  <c r="J81" i="3"/>
  <c r="K81" i="3"/>
  <c r="I82" i="3"/>
  <c r="L80" i="2"/>
  <c r="M80" i="2" s="1"/>
  <c r="O80" i="2"/>
  <c r="P80" i="2" s="1"/>
  <c r="Q80" i="2"/>
  <c r="J81" i="2"/>
  <c r="K81" i="2" s="1"/>
  <c r="I82" i="2"/>
  <c r="L80" i="1"/>
  <c r="M80" i="1" s="1"/>
  <c r="O80" i="1"/>
  <c r="P80" i="1" s="1"/>
  <c r="Q80" i="1"/>
  <c r="J81" i="1"/>
  <c r="K81" i="1"/>
  <c r="I82" i="1"/>
  <c r="L82" i="4" l="1"/>
  <c r="M82" i="4" s="1"/>
  <c r="O82" i="4"/>
  <c r="P82" i="4" s="1"/>
  <c r="Q82" i="4"/>
  <c r="J83" i="4"/>
  <c r="K83" i="4" s="1"/>
  <c r="I84" i="4"/>
  <c r="L81" i="3"/>
  <c r="M81" i="3" s="1"/>
  <c r="O81" i="3"/>
  <c r="P81" i="3" s="1"/>
  <c r="Q81" i="3"/>
  <c r="J82" i="3"/>
  <c r="K82" i="3" s="1"/>
  <c r="I83" i="3"/>
  <c r="L81" i="2"/>
  <c r="M81" i="2" s="1"/>
  <c r="O81" i="2"/>
  <c r="P81" i="2"/>
  <c r="Q81" i="2"/>
  <c r="J82" i="2"/>
  <c r="K82" i="2"/>
  <c r="I83" i="2"/>
  <c r="L81" i="1"/>
  <c r="M81" i="1" s="1"/>
  <c r="O81" i="1"/>
  <c r="P81" i="1" s="1"/>
  <c r="Q81" i="1"/>
  <c r="J82" i="1"/>
  <c r="K82" i="1"/>
  <c r="I83" i="1"/>
  <c r="L83" i="4" l="1"/>
  <c r="M83" i="4" s="1"/>
  <c r="O83" i="4"/>
  <c r="P83" i="4" s="1"/>
  <c r="Q83" i="4"/>
  <c r="J84" i="4"/>
  <c r="K84" i="4" s="1"/>
  <c r="I85" i="4"/>
  <c r="L82" i="3"/>
  <c r="M82" i="3" s="1"/>
  <c r="O82" i="3"/>
  <c r="P82" i="3" s="1"/>
  <c r="Q82" i="3"/>
  <c r="J83" i="3"/>
  <c r="K83" i="3"/>
  <c r="I84" i="3"/>
  <c r="L82" i="2"/>
  <c r="M82" i="2" s="1"/>
  <c r="O82" i="2"/>
  <c r="P82" i="2"/>
  <c r="Q82" i="2"/>
  <c r="J83" i="2"/>
  <c r="K83" i="2"/>
  <c r="I84" i="2"/>
  <c r="L82" i="1"/>
  <c r="M82" i="1" s="1"/>
  <c r="O82" i="1"/>
  <c r="P82" i="1" s="1"/>
  <c r="Q82" i="1"/>
  <c r="J83" i="1"/>
  <c r="K83" i="1"/>
  <c r="I84" i="1"/>
  <c r="L84" i="4" l="1"/>
  <c r="M84" i="4" s="1"/>
  <c r="O84" i="4"/>
  <c r="P84" i="4"/>
  <c r="Q84" i="4"/>
  <c r="J85" i="4"/>
  <c r="K85" i="4" s="1"/>
  <c r="I86" i="4"/>
  <c r="L83" i="3"/>
  <c r="M83" i="3" s="1"/>
  <c r="O83" i="3"/>
  <c r="P83" i="3" s="1"/>
  <c r="Q83" i="3"/>
  <c r="J84" i="3"/>
  <c r="K84" i="3"/>
  <c r="I85" i="3"/>
  <c r="L83" i="2"/>
  <c r="M83" i="2" s="1"/>
  <c r="O83" i="2"/>
  <c r="P83" i="2"/>
  <c r="Q83" i="2"/>
  <c r="J84" i="2"/>
  <c r="K84" i="2"/>
  <c r="I85" i="2"/>
  <c r="L83" i="1"/>
  <c r="M83" i="1" s="1"/>
  <c r="O83" i="1"/>
  <c r="P83" i="1" s="1"/>
  <c r="Q83" i="1"/>
  <c r="J84" i="1"/>
  <c r="K84" i="1"/>
  <c r="I85" i="1"/>
  <c r="L85" i="4" l="1"/>
  <c r="M85" i="4" s="1"/>
  <c r="O85" i="4"/>
  <c r="P85" i="4"/>
  <c r="Q85" i="4"/>
  <c r="J86" i="4"/>
  <c r="K86" i="4"/>
  <c r="I87" i="4"/>
  <c r="L84" i="3"/>
  <c r="M84" i="3" s="1"/>
  <c r="O84" i="3"/>
  <c r="P84" i="3" s="1"/>
  <c r="Q84" i="3"/>
  <c r="J85" i="3"/>
  <c r="K85" i="3"/>
  <c r="I86" i="3"/>
  <c r="L84" i="2"/>
  <c r="M84" i="2" s="1"/>
  <c r="O84" i="2"/>
  <c r="P84" i="2"/>
  <c r="Q84" i="2"/>
  <c r="J85" i="2"/>
  <c r="K85" i="2"/>
  <c r="I86" i="2"/>
  <c r="L84" i="1"/>
  <c r="M84" i="1" s="1"/>
  <c r="O84" i="1"/>
  <c r="P84" i="1" s="1"/>
  <c r="Q84" i="1"/>
  <c r="J85" i="1"/>
  <c r="K85" i="1"/>
  <c r="I86" i="1"/>
  <c r="L86" i="4" l="1"/>
  <c r="M86" i="4" s="1"/>
  <c r="O86" i="4"/>
  <c r="P86" i="4" s="1"/>
  <c r="Q86" i="4"/>
  <c r="J87" i="4"/>
  <c r="K87" i="4" s="1"/>
  <c r="I88" i="4"/>
  <c r="L85" i="3"/>
  <c r="M85" i="3" s="1"/>
  <c r="O85" i="3"/>
  <c r="P85" i="3" s="1"/>
  <c r="Q85" i="3"/>
  <c r="J86" i="3"/>
  <c r="K86" i="3"/>
  <c r="I87" i="3"/>
  <c r="L85" i="2"/>
  <c r="M85" i="2" s="1"/>
  <c r="O85" i="2"/>
  <c r="Q85" i="2"/>
  <c r="P85" i="2"/>
  <c r="K86" i="2"/>
  <c r="J86" i="2"/>
  <c r="I87" i="2"/>
  <c r="L85" i="1"/>
  <c r="M85" i="1" s="1"/>
  <c r="O85" i="1"/>
  <c r="P85" i="1" s="1"/>
  <c r="Q85" i="1"/>
  <c r="J86" i="1"/>
  <c r="K86" i="1" s="1"/>
  <c r="I87" i="1"/>
  <c r="L87" i="4" l="1"/>
  <c r="M87" i="4" s="1"/>
  <c r="O87" i="4"/>
  <c r="P87" i="4"/>
  <c r="Q87" i="4"/>
  <c r="J88" i="4"/>
  <c r="K88" i="4" s="1"/>
  <c r="I89" i="4"/>
  <c r="L86" i="3"/>
  <c r="M86" i="3" s="1"/>
  <c r="O86" i="3"/>
  <c r="P86" i="3" s="1"/>
  <c r="Q86" i="3"/>
  <c r="J87" i="3"/>
  <c r="K87" i="3"/>
  <c r="I88" i="3"/>
  <c r="L86" i="2"/>
  <c r="M86" i="2" s="1"/>
  <c r="Q86" i="2"/>
  <c r="O86" i="2"/>
  <c r="P86" i="2" s="1"/>
  <c r="J87" i="2"/>
  <c r="K87" i="2" s="1"/>
  <c r="I88" i="2"/>
  <c r="L86" i="1"/>
  <c r="M86" i="1" s="1"/>
  <c r="O86" i="1"/>
  <c r="P86" i="1" s="1"/>
  <c r="Q86" i="1"/>
  <c r="J87" i="1"/>
  <c r="I88" i="1"/>
  <c r="K87" i="1"/>
  <c r="L88" i="4" l="1"/>
  <c r="M88" i="4" s="1"/>
  <c r="O88" i="4"/>
  <c r="P88" i="4" s="1"/>
  <c r="Q88" i="4"/>
  <c r="J89" i="4"/>
  <c r="K89" i="4" s="1"/>
  <c r="I90" i="4"/>
  <c r="L87" i="3"/>
  <c r="M87" i="3" s="1"/>
  <c r="O87" i="3"/>
  <c r="P87" i="3" s="1"/>
  <c r="Q87" i="3"/>
  <c r="J88" i="3"/>
  <c r="K88" i="3"/>
  <c r="I89" i="3"/>
  <c r="O87" i="2"/>
  <c r="P87" i="2" s="1"/>
  <c r="L87" i="2"/>
  <c r="M87" i="2" s="1"/>
  <c r="Q87" i="2"/>
  <c r="I89" i="2"/>
  <c r="J88" i="2"/>
  <c r="K88" i="2" s="1"/>
  <c r="L87" i="1"/>
  <c r="M87" i="1" s="1"/>
  <c r="O87" i="1"/>
  <c r="P87" i="1" s="1"/>
  <c r="Q87" i="1"/>
  <c r="J88" i="1"/>
  <c r="K88" i="1" s="1"/>
  <c r="I89" i="1"/>
  <c r="L89" i="4" l="1"/>
  <c r="M89" i="4" s="1"/>
  <c r="O89" i="4"/>
  <c r="P89" i="4" s="1"/>
  <c r="Q89" i="4"/>
  <c r="J90" i="4"/>
  <c r="K90" i="4"/>
  <c r="I91" i="4"/>
  <c r="L88" i="3"/>
  <c r="M88" i="3" s="1"/>
  <c r="O88" i="3"/>
  <c r="P88" i="3" s="1"/>
  <c r="Q88" i="3"/>
  <c r="J89" i="3"/>
  <c r="K89" i="3" s="1"/>
  <c r="I90" i="3"/>
  <c r="J89" i="2"/>
  <c r="K89" i="2"/>
  <c r="I90" i="2"/>
  <c r="Q88" i="2"/>
  <c r="L88" i="2"/>
  <c r="M88" i="2" s="1"/>
  <c r="O88" i="2"/>
  <c r="P88" i="2" s="1"/>
  <c r="Q88" i="1"/>
  <c r="L88" i="1"/>
  <c r="M88" i="1" s="1"/>
  <c r="O88" i="1"/>
  <c r="P88" i="1" s="1"/>
  <c r="I90" i="1"/>
  <c r="J89" i="1"/>
  <c r="K89" i="1"/>
  <c r="L90" i="4" l="1"/>
  <c r="M90" i="4" s="1"/>
  <c r="O90" i="4"/>
  <c r="P90" i="4"/>
  <c r="Q90" i="4"/>
  <c r="J91" i="4"/>
  <c r="K91" i="4"/>
  <c r="I92" i="4"/>
  <c r="L89" i="3"/>
  <c r="M89" i="3" s="1"/>
  <c r="O89" i="3"/>
  <c r="P89" i="3" s="1"/>
  <c r="Q89" i="3"/>
  <c r="J90" i="3"/>
  <c r="K90" i="3" s="1"/>
  <c r="I91" i="3"/>
  <c r="L89" i="2"/>
  <c r="M89" i="2" s="1"/>
  <c r="O89" i="2"/>
  <c r="P89" i="2"/>
  <c r="Q89" i="2"/>
  <c r="J90" i="2"/>
  <c r="K90" i="2" s="1"/>
  <c r="I91" i="2"/>
  <c r="I91" i="1"/>
  <c r="J90" i="1"/>
  <c r="K90" i="1" s="1"/>
  <c r="L89" i="1"/>
  <c r="M89" i="1" s="1"/>
  <c r="O89" i="1"/>
  <c r="P89" i="1" s="1"/>
  <c r="Q89" i="1"/>
  <c r="L91" i="4" l="1"/>
  <c r="M91" i="4" s="1"/>
  <c r="O91" i="4"/>
  <c r="P91" i="4" s="1"/>
  <c r="Q91" i="4"/>
  <c r="J92" i="4"/>
  <c r="K92" i="4"/>
  <c r="I93" i="4"/>
  <c r="L90" i="3"/>
  <c r="M90" i="3" s="1"/>
  <c r="O90" i="3"/>
  <c r="P90" i="3" s="1"/>
  <c r="Q90" i="3"/>
  <c r="J91" i="3"/>
  <c r="K91" i="3"/>
  <c r="I92" i="3"/>
  <c r="L90" i="2"/>
  <c r="M90" i="2" s="1"/>
  <c r="O90" i="2"/>
  <c r="P90" i="2"/>
  <c r="Q90" i="2"/>
  <c r="J91" i="2"/>
  <c r="K91" i="2"/>
  <c r="I92" i="2"/>
  <c r="I92" i="1"/>
  <c r="J91" i="1"/>
  <c r="K91" i="1" s="1"/>
  <c r="L90" i="1"/>
  <c r="M90" i="1" s="1"/>
  <c r="O90" i="1"/>
  <c r="P90" i="1" s="1"/>
  <c r="Q90" i="1"/>
  <c r="L92" i="4" l="1"/>
  <c r="M92" i="4" s="1"/>
  <c r="O92" i="4"/>
  <c r="P92" i="4"/>
  <c r="Q92" i="4"/>
  <c r="J93" i="4"/>
  <c r="K93" i="4"/>
  <c r="I94" i="4"/>
  <c r="L91" i="3"/>
  <c r="M91" i="3" s="1"/>
  <c r="O91" i="3"/>
  <c r="P91" i="3" s="1"/>
  <c r="Q91" i="3"/>
  <c r="J92" i="3"/>
  <c r="K92" i="3"/>
  <c r="I93" i="3"/>
  <c r="L91" i="2"/>
  <c r="M91" i="2" s="1"/>
  <c r="O91" i="2"/>
  <c r="P91" i="2"/>
  <c r="Q91" i="2"/>
  <c r="J92" i="2"/>
  <c r="K92" i="2"/>
  <c r="I93" i="2"/>
  <c r="J92" i="1"/>
  <c r="K92" i="1" s="1"/>
  <c r="I93" i="1"/>
  <c r="Q91" i="1"/>
  <c r="L91" i="1"/>
  <c r="M91" i="1" s="1"/>
  <c r="O91" i="1"/>
  <c r="P91" i="1" s="1"/>
  <c r="L93" i="4" l="1"/>
  <c r="M93" i="4" s="1"/>
  <c r="O93" i="4"/>
  <c r="P93" i="4" s="1"/>
  <c r="Q93" i="4"/>
  <c r="J94" i="4"/>
  <c r="K94" i="4"/>
  <c r="I95" i="4"/>
  <c r="L92" i="3"/>
  <c r="M92" i="3" s="1"/>
  <c r="O92" i="3"/>
  <c r="P92" i="3" s="1"/>
  <c r="Q92" i="3"/>
  <c r="J93" i="3"/>
  <c r="K93" i="3"/>
  <c r="I94" i="3"/>
  <c r="L92" i="2"/>
  <c r="M92" i="2" s="1"/>
  <c r="O92" i="2"/>
  <c r="P92" i="2" s="1"/>
  <c r="Q92" i="2"/>
  <c r="J93" i="2"/>
  <c r="K93" i="2" s="1"/>
  <c r="I94" i="2"/>
  <c r="Q92" i="1"/>
  <c r="L92" i="1"/>
  <c r="M92" i="1" s="1"/>
  <c r="O92" i="1"/>
  <c r="P92" i="1" s="1"/>
  <c r="I94" i="1"/>
  <c r="J93" i="1"/>
  <c r="K93" i="1" s="1"/>
  <c r="L94" i="4" l="1"/>
  <c r="M94" i="4" s="1"/>
  <c r="O94" i="4"/>
  <c r="P94" i="4"/>
  <c r="Q94" i="4"/>
  <c r="J95" i="4"/>
  <c r="K95" i="4"/>
  <c r="I96" i="4"/>
  <c r="L93" i="3"/>
  <c r="M93" i="3" s="1"/>
  <c r="O93" i="3"/>
  <c r="P93" i="3" s="1"/>
  <c r="Q93" i="3"/>
  <c r="J94" i="3"/>
  <c r="K94" i="3"/>
  <c r="I95" i="3"/>
  <c r="L93" i="2"/>
  <c r="M93" i="2" s="1"/>
  <c r="O93" i="2"/>
  <c r="P93" i="2" s="1"/>
  <c r="Q93" i="2"/>
  <c r="J94" i="2"/>
  <c r="K94" i="2"/>
  <c r="I95" i="2"/>
  <c r="J94" i="1"/>
  <c r="K94" i="1"/>
  <c r="I95" i="1"/>
  <c r="L93" i="1"/>
  <c r="M93" i="1" s="1"/>
  <c r="O93" i="1"/>
  <c r="P93" i="1" s="1"/>
  <c r="Q93" i="1"/>
  <c r="L95" i="4" l="1"/>
  <c r="M95" i="4" s="1"/>
  <c r="O95" i="4"/>
  <c r="P95" i="4"/>
  <c r="Q95" i="4"/>
  <c r="J96" i="4"/>
  <c r="K96" i="4"/>
  <c r="I97" i="4"/>
  <c r="L94" i="3"/>
  <c r="M94" i="3" s="1"/>
  <c r="O94" i="3"/>
  <c r="P94" i="3" s="1"/>
  <c r="Q94" i="3"/>
  <c r="J95" i="3"/>
  <c r="K95" i="3"/>
  <c r="I96" i="3"/>
  <c r="L94" i="2"/>
  <c r="M94" i="2" s="1"/>
  <c r="O94" i="2"/>
  <c r="P94" i="2" s="1"/>
  <c r="Q94" i="2"/>
  <c r="J95" i="2"/>
  <c r="K95" i="2"/>
  <c r="I96" i="2"/>
  <c r="L94" i="1"/>
  <c r="M94" i="1" s="1"/>
  <c r="O94" i="1"/>
  <c r="P94" i="1" s="1"/>
  <c r="Q94" i="1"/>
  <c r="J95" i="1"/>
  <c r="K95" i="1"/>
  <c r="I96" i="1"/>
  <c r="L96" i="4" l="1"/>
  <c r="M96" i="4" s="1"/>
  <c r="O96" i="4"/>
  <c r="P96" i="4"/>
  <c r="Q96" i="4"/>
  <c r="J97" i="4"/>
  <c r="K97" i="4" s="1"/>
  <c r="I98" i="4"/>
  <c r="L95" i="3"/>
  <c r="M95" i="3" s="1"/>
  <c r="O95" i="3"/>
  <c r="P95" i="3" s="1"/>
  <c r="Q95" i="3"/>
  <c r="J96" i="3"/>
  <c r="K96" i="3"/>
  <c r="I97" i="3"/>
  <c r="L95" i="2"/>
  <c r="M95" i="2" s="1"/>
  <c r="O95" i="2"/>
  <c r="P95" i="2"/>
  <c r="Q95" i="2"/>
  <c r="J96" i="2"/>
  <c r="K96" i="2" s="1"/>
  <c r="I97" i="2"/>
  <c r="L95" i="1"/>
  <c r="M95" i="1" s="1"/>
  <c r="O95" i="1"/>
  <c r="P95" i="1" s="1"/>
  <c r="Q95" i="1"/>
  <c r="J96" i="1"/>
  <c r="K96" i="1"/>
  <c r="I97" i="1"/>
  <c r="L97" i="4" l="1"/>
  <c r="M97" i="4" s="1"/>
  <c r="O97" i="4"/>
  <c r="P97" i="4"/>
  <c r="Q97" i="4"/>
  <c r="J98" i="4"/>
  <c r="K98" i="4"/>
  <c r="I99" i="4"/>
  <c r="L96" i="3"/>
  <c r="M96" i="3" s="1"/>
  <c r="O96" i="3"/>
  <c r="P96" i="3" s="1"/>
  <c r="Q96" i="3"/>
  <c r="J97" i="3"/>
  <c r="K97" i="3" s="1"/>
  <c r="I98" i="3"/>
  <c r="L96" i="2"/>
  <c r="M96" i="2" s="1"/>
  <c r="O96" i="2"/>
  <c r="P96" i="2" s="1"/>
  <c r="Q96" i="2"/>
  <c r="J97" i="2"/>
  <c r="K97" i="2"/>
  <c r="I98" i="2"/>
  <c r="L96" i="1"/>
  <c r="M96" i="1" s="1"/>
  <c r="O96" i="1"/>
  <c r="P96" i="1" s="1"/>
  <c r="Q96" i="1"/>
  <c r="J97" i="1"/>
  <c r="K97" i="1"/>
  <c r="I98" i="1"/>
  <c r="L98" i="4" l="1"/>
  <c r="M98" i="4" s="1"/>
  <c r="O98" i="4"/>
  <c r="P98" i="4"/>
  <c r="Q98" i="4"/>
  <c r="J99" i="4"/>
  <c r="K99" i="4"/>
  <c r="I100" i="4"/>
  <c r="L97" i="3"/>
  <c r="M97" i="3" s="1"/>
  <c r="O97" i="3"/>
  <c r="P97" i="3" s="1"/>
  <c r="Q97" i="3"/>
  <c r="J98" i="3"/>
  <c r="K98" i="3" s="1"/>
  <c r="I99" i="3"/>
  <c r="L97" i="2"/>
  <c r="M97" i="2" s="1"/>
  <c r="O97" i="2"/>
  <c r="P97" i="2"/>
  <c r="Q97" i="2"/>
  <c r="J98" i="2"/>
  <c r="K98" i="2"/>
  <c r="I99" i="2"/>
  <c r="L97" i="1"/>
  <c r="M97" i="1" s="1"/>
  <c r="O97" i="1"/>
  <c r="P97" i="1" s="1"/>
  <c r="Q97" i="1"/>
  <c r="J98" i="1"/>
  <c r="K98" i="1"/>
  <c r="I99" i="1"/>
  <c r="L99" i="4" l="1"/>
  <c r="M99" i="4" s="1"/>
  <c r="O99" i="4"/>
  <c r="P99" i="4"/>
  <c r="Q99" i="4"/>
  <c r="J100" i="4"/>
  <c r="K100" i="4"/>
  <c r="I101" i="4"/>
  <c r="L98" i="3"/>
  <c r="M98" i="3" s="1"/>
  <c r="O98" i="3"/>
  <c r="P98" i="3" s="1"/>
  <c r="Q98" i="3"/>
  <c r="J99" i="3"/>
  <c r="K99" i="3"/>
  <c r="I100" i="3"/>
  <c r="L98" i="2"/>
  <c r="M98" i="2" s="1"/>
  <c r="O98" i="2"/>
  <c r="P98" i="2" s="1"/>
  <c r="Q98" i="2"/>
  <c r="J99" i="2"/>
  <c r="K99" i="2"/>
  <c r="I100" i="2"/>
  <c r="L98" i="1"/>
  <c r="M98" i="1" s="1"/>
  <c r="O98" i="1"/>
  <c r="P98" i="1" s="1"/>
  <c r="Q98" i="1"/>
  <c r="J99" i="1"/>
  <c r="K99" i="1"/>
  <c r="I100" i="1"/>
  <c r="L100" i="4" l="1"/>
  <c r="M100" i="4" s="1"/>
  <c r="O100" i="4"/>
  <c r="P100" i="4"/>
  <c r="Q100" i="4"/>
  <c r="J101" i="4"/>
  <c r="K101" i="4"/>
  <c r="I102" i="4"/>
  <c r="L99" i="3"/>
  <c r="M99" i="3" s="1"/>
  <c r="O99" i="3"/>
  <c r="P99" i="3" s="1"/>
  <c r="Q99" i="3"/>
  <c r="J100" i="3"/>
  <c r="K100" i="3"/>
  <c r="I101" i="3"/>
  <c r="L99" i="2"/>
  <c r="M99" i="2" s="1"/>
  <c r="O99" i="2"/>
  <c r="P99" i="2"/>
  <c r="Q99" i="2"/>
  <c r="J100" i="2"/>
  <c r="K100" i="2"/>
  <c r="I101" i="2"/>
  <c r="L99" i="1"/>
  <c r="M99" i="1" s="1"/>
  <c r="O99" i="1"/>
  <c r="P99" i="1" s="1"/>
  <c r="Q99" i="1"/>
  <c r="J100" i="1"/>
  <c r="K100" i="1" s="1"/>
  <c r="I101" i="1"/>
  <c r="L101" i="4" l="1"/>
  <c r="M101" i="4" s="1"/>
  <c r="O101" i="4"/>
  <c r="P101" i="4" s="1"/>
  <c r="Q101" i="4"/>
  <c r="J102" i="4"/>
  <c r="K102" i="4"/>
  <c r="I103" i="4"/>
  <c r="L100" i="3"/>
  <c r="M100" i="3" s="1"/>
  <c r="O100" i="3"/>
  <c r="P100" i="3" s="1"/>
  <c r="Q100" i="3"/>
  <c r="J101" i="3"/>
  <c r="K101" i="3"/>
  <c r="I102" i="3"/>
  <c r="L100" i="2"/>
  <c r="M100" i="2" s="1"/>
  <c r="O100" i="2"/>
  <c r="P100" i="2"/>
  <c r="Q100" i="2"/>
  <c r="J101" i="2"/>
  <c r="K101" i="2"/>
  <c r="I102" i="2"/>
  <c r="L100" i="1"/>
  <c r="M100" i="1" s="1"/>
  <c r="O100" i="1"/>
  <c r="P100" i="1" s="1"/>
  <c r="Q100" i="1"/>
  <c r="J101" i="1"/>
  <c r="K101" i="1" s="1"/>
  <c r="I102" i="1"/>
  <c r="L102" i="4" l="1"/>
  <c r="M102" i="4" s="1"/>
  <c r="O102" i="4"/>
  <c r="P102" i="4"/>
  <c r="Q102" i="4"/>
  <c r="J103" i="4"/>
  <c r="K103" i="4"/>
  <c r="I104" i="4"/>
  <c r="L101" i="3"/>
  <c r="M101" i="3" s="1"/>
  <c r="O101" i="3"/>
  <c r="P101" i="3" s="1"/>
  <c r="Q101" i="3"/>
  <c r="J102" i="3"/>
  <c r="K102" i="3"/>
  <c r="I103" i="3"/>
  <c r="L101" i="2"/>
  <c r="M101" i="2" s="1"/>
  <c r="O101" i="2"/>
  <c r="P101" i="2" s="1"/>
  <c r="Q101" i="2"/>
  <c r="J102" i="2"/>
  <c r="K102" i="2"/>
  <c r="I103" i="2"/>
  <c r="L101" i="1"/>
  <c r="M101" i="1" s="1"/>
  <c r="O101" i="1"/>
  <c r="P101" i="1" s="1"/>
  <c r="Q101" i="1"/>
  <c r="J102" i="1"/>
  <c r="K102" i="1" s="1"/>
  <c r="I103" i="1"/>
  <c r="L103" i="4" l="1"/>
  <c r="M103" i="4" s="1"/>
  <c r="O103" i="4"/>
  <c r="P103" i="4"/>
  <c r="Q103" i="4"/>
  <c r="J104" i="4"/>
  <c r="K104" i="4"/>
  <c r="I105" i="4"/>
  <c r="L102" i="3"/>
  <c r="M102" i="3" s="1"/>
  <c r="O102" i="3"/>
  <c r="P102" i="3" s="1"/>
  <c r="Q102" i="3"/>
  <c r="J103" i="3"/>
  <c r="K103" i="3"/>
  <c r="I104" i="3"/>
  <c r="L102" i="2"/>
  <c r="M102" i="2" s="1"/>
  <c r="O102" i="2"/>
  <c r="P102" i="2"/>
  <c r="Q102" i="2"/>
  <c r="J103" i="2"/>
  <c r="K103" i="2"/>
  <c r="I104" i="2"/>
  <c r="L102" i="1"/>
  <c r="M102" i="1" s="1"/>
  <c r="O102" i="1"/>
  <c r="P102" i="1" s="1"/>
  <c r="Q102" i="1"/>
  <c r="J103" i="1"/>
  <c r="K103" i="1" s="1"/>
  <c r="I104" i="1"/>
  <c r="L104" i="4" l="1"/>
  <c r="M104" i="4" s="1"/>
  <c r="O104" i="4"/>
  <c r="P104" i="4"/>
  <c r="Q104" i="4"/>
  <c r="J105" i="4"/>
  <c r="K105" i="4"/>
  <c r="I106" i="4"/>
  <c r="L103" i="3"/>
  <c r="M103" i="3" s="1"/>
  <c r="O103" i="3"/>
  <c r="P103" i="3" s="1"/>
  <c r="Q103" i="3"/>
  <c r="J104" i="3"/>
  <c r="K104" i="3"/>
  <c r="I105" i="3"/>
  <c r="L103" i="2"/>
  <c r="M103" i="2" s="1"/>
  <c r="O103" i="2"/>
  <c r="P103" i="2"/>
  <c r="Q103" i="2"/>
  <c r="J104" i="2"/>
  <c r="K104" i="2"/>
  <c r="I105" i="2"/>
  <c r="L103" i="1"/>
  <c r="M103" i="1" s="1"/>
  <c r="O103" i="1"/>
  <c r="P103" i="1" s="1"/>
  <c r="Q103" i="1"/>
  <c r="J104" i="1"/>
  <c r="K104" i="1"/>
  <c r="I105" i="1"/>
  <c r="L105" i="4" l="1"/>
  <c r="M105" i="4" s="1"/>
  <c r="O105" i="4"/>
  <c r="P105" i="4"/>
  <c r="Q105" i="4"/>
  <c r="J106" i="4"/>
  <c r="K106" i="4"/>
  <c r="I107" i="4"/>
  <c r="L104" i="3"/>
  <c r="M104" i="3" s="1"/>
  <c r="O104" i="3"/>
  <c r="P104" i="3" s="1"/>
  <c r="Q104" i="3"/>
  <c r="J105" i="3"/>
  <c r="K105" i="3"/>
  <c r="I106" i="3"/>
  <c r="L104" i="2"/>
  <c r="M104" i="2" s="1"/>
  <c r="O104" i="2"/>
  <c r="P104" i="2"/>
  <c r="Q104" i="2"/>
  <c r="J105" i="2"/>
  <c r="K105" i="2"/>
  <c r="I106" i="2"/>
  <c r="L104" i="1"/>
  <c r="M104" i="1" s="1"/>
  <c r="O104" i="1"/>
  <c r="P104" i="1" s="1"/>
  <c r="Q104" i="1"/>
  <c r="J105" i="1"/>
  <c r="K105" i="1"/>
  <c r="I106" i="1"/>
  <c r="L106" i="4" l="1"/>
  <c r="M106" i="4" s="1"/>
  <c r="O106" i="4"/>
  <c r="P106" i="4"/>
  <c r="Q106" i="4"/>
  <c r="J107" i="4"/>
  <c r="K107" i="4"/>
  <c r="I108" i="4"/>
  <c r="L105" i="3"/>
  <c r="M105" i="3" s="1"/>
  <c r="O105" i="3"/>
  <c r="P105" i="3" s="1"/>
  <c r="Q105" i="3"/>
  <c r="J106" i="3"/>
  <c r="K106" i="3"/>
  <c r="I107" i="3"/>
  <c r="L105" i="2"/>
  <c r="M105" i="2" s="1"/>
  <c r="O105" i="2"/>
  <c r="P105" i="2" s="1"/>
  <c r="Q105" i="2"/>
  <c r="J106" i="2"/>
  <c r="K106" i="2"/>
  <c r="I107" i="2"/>
  <c r="L105" i="1"/>
  <c r="M105" i="1" s="1"/>
  <c r="O105" i="1"/>
  <c r="P105" i="1" s="1"/>
  <c r="Q105" i="1"/>
  <c r="J106" i="1"/>
  <c r="K106" i="1"/>
  <c r="I107" i="1"/>
  <c r="L107" i="4" l="1"/>
  <c r="M107" i="4" s="1"/>
  <c r="O107" i="4"/>
  <c r="P107" i="4"/>
  <c r="Q107" i="4"/>
  <c r="J108" i="4"/>
  <c r="K108" i="4" s="1"/>
  <c r="I109" i="4"/>
  <c r="L106" i="3"/>
  <c r="M106" i="3" s="1"/>
  <c r="O106" i="3"/>
  <c r="P106" i="3" s="1"/>
  <c r="Q106" i="3"/>
  <c r="J107" i="3"/>
  <c r="K107" i="3"/>
  <c r="I108" i="3"/>
  <c r="L106" i="2"/>
  <c r="M106" i="2" s="1"/>
  <c r="O106" i="2"/>
  <c r="P106" i="2" s="1"/>
  <c r="Q106" i="2"/>
  <c r="J107" i="2"/>
  <c r="K107" i="2"/>
  <c r="I108" i="2"/>
  <c r="L106" i="1"/>
  <c r="M106" i="1" s="1"/>
  <c r="O106" i="1"/>
  <c r="P106" i="1" s="1"/>
  <c r="Q106" i="1"/>
  <c r="J107" i="1"/>
  <c r="K107" i="1"/>
  <c r="I108" i="1"/>
  <c r="L108" i="4" l="1"/>
  <c r="M108" i="4" s="1"/>
  <c r="O108" i="4"/>
  <c r="P108" i="4"/>
  <c r="Q108" i="4"/>
  <c r="J109" i="4"/>
  <c r="K109" i="4"/>
  <c r="I110" i="4"/>
  <c r="L107" i="3"/>
  <c r="M107" i="3" s="1"/>
  <c r="O107" i="3"/>
  <c r="P107" i="3" s="1"/>
  <c r="Q107" i="3"/>
  <c r="J108" i="3"/>
  <c r="K108" i="3"/>
  <c r="I109" i="3"/>
  <c r="L107" i="2"/>
  <c r="M107" i="2" s="1"/>
  <c r="O107" i="2"/>
  <c r="P107" i="2"/>
  <c r="Q107" i="2"/>
  <c r="J108" i="2"/>
  <c r="K108" i="2"/>
  <c r="I109" i="2"/>
  <c r="L107" i="1"/>
  <c r="M107" i="1" s="1"/>
  <c r="O107" i="1"/>
  <c r="P107" i="1" s="1"/>
  <c r="Q107" i="1"/>
  <c r="J108" i="1"/>
  <c r="K108" i="1"/>
  <c r="I109" i="1"/>
  <c r="L109" i="4" l="1"/>
  <c r="M109" i="4" s="1"/>
  <c r="O109" i="4"/>
  <c r="P109" i="4" s="1"/>
  <c r="Q109" i="4"/>
  <c r="J110" i="4"/>
  <c r="K110" i="4"/>
  <c r="I111" i="4"/>
  <c r="L108" i="3"/>
  <c r="M108" i="3" s="1"/>
  <c r="O108" i="3"/>
  <c r="P108" i="3" s="1"/>
  <c r="Q108" i="3"/>
  <c r="J109" i="3"/>
  <c r="K109" i="3"/>
  <c r="I110" i="3"/>
  <c r="L108" i="2"/>
  <c r="M108" i="2" s="1"/>
  <c r="O108" i="2"/>
  <c r="P108" i="2"/>
  <c r="Q108" i="2"/>
  <c r="J109" i="2"/>
  <c r="K109" i="2"/>
  <c r="I110" i="2"/>
  <c r="L108" i="1"/>
  <c r="M108" i="1" s="1"/>
  <c r="O108" i="1"/>
  <c r="P108" i="1" s="1"/>
  <c r="Q108" i="1"/>
  <c r="J109" i="1"/>
  <c r="K109" i="1"/>
  <c r="I110" i="1"/>
  <c r="L110" i="4" l="1"/>
  <c r="M110" i="4" s="1"/>
  <c r="O110" i="4"/>
  <c r="P110" i="4"/>
  <c r="Q110" i="4"/>
  <c r="J111" i="4"/>
  <c r="K111" i="4"/>
  <c r="I112" i="4"/>
  <c r="L109" i="3"/>
  <c r="M109" i="3" s="1"/>
  <c r="O109" i="3"/>
  <c r="P109" i="3" s="1"/>
  <c r="Q109" i="3"/>
  <c r="J110" i="3"/>
  <c r="K110" i="3"/>
  <c r="I111" i="3"/>
  <c r="L109" i="2"/>
  <c r="M109" i="2" s="1"/>
  <c r="O109" i="2"/>
  <c r="P109" i="2"/>
  <c r="Q109" i="2"/>
  <c r="J110" i="2"/>
  <c r="K110" i="2" s="1"/>
  <c r="I111" i="2"/>
  <c r="L109" i="1"/>
  <c r="M109" i="1" s="1"/>
  <c r="O109" i="1"/>
  <c r="P109" i="1" s="1"/>
  <c r="Q109" i="1"/>
  <c r="J110" i="1"/>
  <c r="K110" i="1"/>
  <c r="I111" i="1"/>
  <c r="L111" i="4" l="1"/>
  <c r="M111" i="4" s="1"/>
  <c r="O111" i="4"/>
  <c r="P111" i="4"/>
  <c r="Q111" i="4"/>
  <c r="J112" i="4"/>
  <c r="K112" i="4"/>
  <c r="I113" i="4"/>
  <c r="L110" i="3"/>
  <c r="M110" i="3" s="1"/>
  <c r="O110" i="3"/>
  <c r="P110" i="3" s="1"/>
  <c r="Q110" i="3"/>
  <c r="J111" i="3"/>
  <c r="K111" i="3" s="1"/>
  <c r="I112" i="3"/>
  <c r="L110" i="2"/>
  <c r="M110" i="2" s="1"/>
  <c r="O110" i="2"/>
  <c r="P110" i="2"/>
  <c r="Q110" i="2"/>
  <c r="J111" i="2"/>
  <c r="K111" i="2"/>
  <c r="I112" i="2"/>
  <c r="L110" i="1"/>
  <c r="M110" i="1" s="1"/>
  <c r="O110" i="1"/>
  <c r="P110" i="1" s="1"/>
  <c r="Q110" i="1"/>
  <c r="J111" i="1"/>
  <c r="K111" i="1" s="1"/>
  <c r="I112" i="1"/>
  <c r="L112" i="4" l="1"/>
  <c r="M112" i="4" s="1"/>
  <c r="O112" i="4"/>
  <c r="P112" i="4"/>
  <c r="Q112" i="4"/>
  <c r="J113" i="4"/>
  <c r="K113" i="4"/>
  <c r="I114" i="4"/>
  <c r="L111" i="3"/>
  <c r="M111" i="3" s="1"/>
  <c r="O111" i="3"/>
  <c r="P111" i="3" s="1"/>
  <c r="Q111" i="3"/>
  <c r="J112" i="3"/>
  <c r="K112" i="3"/>
  <c r="I113" i="3"/>
  <c r="L111" i="2"/>
  <c r="M111" i="2" s="1"/>
  <c r="O111" i="2"/>
  <c r="P111" i="2" s="1"/>
  <c r="Q111" i="2"/>
  <c r="J112" i="2"/>
  <c r="K112" i="2"/>
  <c r="I113" i="2"/>
  <c r="L111" i="1"/>
  <c r="M111" i="1" s="1"/>
  <c r="O111" i="1"/>
  <c r="P111" i="1" s="1"/>
  <c r="Q111" i="1"/>
  <c r="J112" i="1"/>
  <c r="K112" i="1"/>
  <c r="I113" i="1"/>
  <c r="L113" i="4" l="1"/>
  <c r="M113" i="4" s="1"/>
  <c r="O113" i="4"/>
  <c r="P113" i="4"/>
  <c r="Q113" i="4"/>
  <c r="J114" i="4"/>
  <c r="K114" i="4" s="1"/>
  <c r="I115" i="4"/>
  <c r="L112" i="3"/>
  <c r="M112" i="3" s="1"/>
  <c r="O112" i="3"/>
  <c r="P112" i="3" s="1"/>
  <c r="Q112" i="3"/>
  <c r="J113" i="3"/>
  <c r="K113" i="3"/>
  <c r="I114" i="3"/>
  <c r="L112" i="2"/>
  <c r="M112" i="2" s="1"/>
  <c r="O112" i="2"/>
  <c r="P112" i="2"/>
  <c r="Q112" i="2"/>
  <c r="J113" i="2"/>
  <c r="K113" i="2"/>
  <c r="I114" i="2"/>
  <c r="L112" i="1"/>
  <c r="M112" i="1" s="1"/>
  <c r="O112" i="1"/>
  <c r="P112" i="1" s="1"/>
  <c r="Q112" i="1"/>
  <c r="J113" i="1"/>
  <c r="K113" i="1" s="1"/>
  <c r="I114" i="1"/>
  <c r="L114" i="4" l="1"/>
  <c r="M114" i="4" s="1"/>
  <c r="O114" i="4"/>
  <c r="P114" i="4" s="1"/>
  <c r="Q114" i="4"/>
  <c r="J115" i="4"/>
  <c r="K115" i="4"/>
  <c r="I116" i="4"/>
  <c r="L113" i="3"/>
  <c r="M113" i="3" s="1"/>
  <c r="O113" i="3"/>
  <c r="P113" i="3" s="1"/>
  <c r="Q113" i="3"/>
  <c r="J114" i="3"/>
  <c r="K114" i="3" s="1"/>
  <c r="I115" i="3"/>
  <c r="L113" i="2"/>
  <c r="M113" i="2" s="1"/>
  <c r="O113" i="2"/>
  <c r="P113" i="2" s="1"/>
  <c r="Q113" i="2"/>
  <c r="J114" i="2"/>
  <c r="K114" i="2"/>
  <c r="I115" i="2"/>
  <c r="L113" i="1"/>
  <c r="M113" i="1" s="1"/>
  <c r="O113" i="1"/>
  <c r="P113" i="1" s="1"/>
  <c r="Q113" i="1"/>
  <c r="J114" i="1"/>
  <c r="K114" i="1"/>
  <c r="I115" i="1"/>
  <c r="L115" i="4" l="1"/>
  <c r="M115" i="4" s="1"/>
  <c r="O115" i="4"/>
  <c r="P115" i="4"/>
  <c r="Q115" i="4"/>
  <c r="J116" i="4"/>
  <c r="K116" i="4"/>
  <c r="I117" i="4"/>
  <c r="L114" i="3"/>
  <c r="M114" i="3" s="1"/>
  <c r="O114" i="3"/>
  <c r="P114" i="3" s="1"/>
  <c r="Q114" i="3"/>
  <c r="J115" i="3"/>
  <c r="K115" i="3"/>
  <c r="I116" i="3"/>
  <c r="L114" i="2"/>
  <c r="M114" i="2" s="1"/>
  <c r="O114" i="2"/>
  <c r="P114" i="2"/>
  <c r="Q114" i="2"/>
  <c r="J115" i="2"/>
  <c r="K115" i="2" s="1"/>
  <c r="I116" i="2"/>
  <c r="L114" i="1"/>
  <c r="M114" i="1" s="1"/>
  <c r="O114" i="1"/>
  <c r="P114" i="1" s="1"/>
  <c r="Q114" i="1"/>
  <c r="J115" i="1"/>
  <c r="K115" i="1"/>
  <c r="I116" i="1"/>
  <c r="L116" i="4" l="1"/>
  <c r="M116" i="4" s="1"/>
  <c r="O116" i="4"/>
  <c r="P116" i="4" s="1"/>
  <c r="Q116" i="4"/>
  <c r="J117" i="4"/>
  <c r="K117" i="4"/>
  <c r="I118" i="4"/>
  <c r="L115" i="3"/>
  <c r="M115" i="3" s="1"/>
  <c r="O115" i="3"/>
  <c r="P115" i="3" s="1"/>
  <c r="Q115" i="3"/>
  <c r="J116" i="3"/>
  <c r="K116" i="3"/>
  <c r="I117" i="3"/>
  <c r="L115" i="2"/>
  <c r="M115" i="2" s="1"/>
  <c r="O115" i="2"/>
  <c r="P115" i="2" s="1"/>
  <c r="Q115" i="2"/>
  <c r="J116" i="2"/>
  <c r="K116" i="2"/>
  <c r="I117" i="2"/>
  <c r="L115" i="1"/>
  <c r="M115" i="1" s="1"/>
  <c r="O115" i="1"/>
  <c r="P115" i="1" s="1"/>
  <c r="Q115" i="1"/>
  <c r="J116" i="1"/>
  <c r="K116" i="1"/>
  <c r="I117" i="1"/>
  <c r="L117" i="4" l="1"/>
  <c r="M117" i="4" s="1"/>
  <c r="O117" i="4"/>
  <c r="P117" i="4"/>
  <c r="Q117" i="4"/>
  <c r="J118" i="4"/>
  <c r="K118" i="4"/>
  <c r="L116" i="3"/>
  <c r="M116" i="3" s="1"/>
  <c r="O116" i="3"/>
  <c r="P116" i="3" s="1"/>
  <c r="Q116" i="3"/>
  <c r="J117" i="3"/>
  <c r="K117" i="3"/>
  <c r="I118" i="3"/>
  <c r="L116" i="2"/>
  <c r="M116" i="2" s="1"/>
  <c r="O116" i="2"/>
  <c r="P116" i="2" s="1"/>
  <c r="Q116" i="2"/>
  <c r="J117" i="2"/>
  <c r="K117" i="2"/>
  <c r="I118" i="2"/>
  <c r="L116" i="1"/>
  <c r="M116" i="1" s="1"/>
  <c r="O116" i="1"/>
  <c r="P116" i="1" s="1"/>
  <c r="Q116" i="1"/>
  <c r="J117" i="1"/>
  <c r="K117" i="1"/>
  <c r="I118" i="1"/>
  <c r="L118" i="4" l="1"/>
  <c r="M118" i="4" s="1"/>
  <c r="O118" i="4"/>
  <c r="P118" i="4" s="1"/>
  <c r="Q118" i="4"/>
  <c r="L117" i="3"/>
  <c r="M117" i="3" s="1"/>
  <c r="O117" i="3"/>
  <c r="P117" i="3" s="1"/>
  <c r="Q117" i="3"/>
  <c r="J118" i="3"/>
  <c r="K118" i="3"/>
  <c r="L117" i="2"/>
  <c r="M117" i="2" s="1"/>
  <c r="O117" i="2"/>
  <c r="P117" i="2" s="1"/>
  <c r="Q117" i="2"/>
  <c r="J118" i="2"/>
  <c r="K118" i="2"/>
  <c r="L117" i="1"/>
  <c r="M117" i="1" s="1"/>
  <c r="O117" i="1"/>
  <c r="P117" i="1" s="1"/>
  <c r="Q117" i="1"/>
  <c r="J118" i="1"/>
  <c r="K118" i="1"/>
  <c r="L118" i="3" l="1"/>
  <c r="M118" i="3" s="1"/>
  <c r="O118" i="3"/>
  <c r="P118" i="3" s="1"/>
  <c r="Q118" i="3"/>
  <c r="L118" i="2"/>
  <c r="M118" i="2" s="1"/>
  <c r="O118" i="2"/>
  <c r="P118" i="2" s="1"/>
  <c r="Q118" i="2"/>
  <c r="L118" i="1"/>
  <c r="M118" i="1" s="1"/>
  <c r="O118" i="1"/>
  <c r="P118" i="1" s="1"/>
  <c r="Q118" i="1"/>
</calcChain>
</file>

<file path=xl/sharedStrings.xml><?xml version="1.0" encoding="utf-8"?>
<sst xmlns="http://schemas.openxmlformats.org/spreadsheetml/2006/main" count="916" uniqueCount="60">
  <si>
    <t>제까갓 마틴게일-스파이더 매매법 시뮬레이터 (롱 가중치 완전교정 V13)</t>
  </si>
  <si>
    <t>※ 가중치 역전 현상 수정완료판 (대단계 전환 시에도 비중이 엄격하게 실시간 체증됨)</t>
  </si>
  <si>
    <t>■ 제까갓 시스템 매매 핵심 운용 규칙 (반드시 숙지 후 컴퓨터처럼 이행할 것) ■</t>
  </si>
  <si>
    <t>① [철저한 단타 지향] 장기 스윙 관점이 아닌 일간 변동성(ADR) 내 기술적 반등을 노리는 완벽한 기계적 시스템 단타 매매입니다.</t>
  </si>
  <si>
    <t>② [5k 완벽 고정 &amp; 50불 쪼개기] 대단계 전환 지점 가중치 역전 현상 완전 해결 버전입니다.</t>
  </si>
  <si>
    <t>③ [3차 체결 이후 하이브리드 리셋] 3차 이상 진입 시, 반등을 주어 평단(본절) 도달 시 물량의 50% 이상을 즉시 정리하여 가용 잔고를 강제 확보합니다.</t>
  </si>
  <si>
    <t>④ [4차~5차 필수 스톱로스(SL)] '손절은 없다'는 뇌동을 버리고, 마지막 보루인 5차 진입 시 예상 청산가 3% 위에 무조건 시스템 스톱로스를 예약합니다.</t>
  </si>
  <si>
    <t>⑤ [진입 타점 필터링] 아무 자리에서나 거미줄을 치지 말고, 일봉 RSI 과매도(30이하) 등 지지선 확인 혹은 변동성(ATR) 급증 시 간격을 넓혀 진입합니다.</t>
  </si>
  <si>
    <t>시작 비트코인 가격 (USDT)</t>
  </si>
  <si>
    <t>총 지갑 잔고 (USDT)</t>
  </si>
  <si>
    <t>레버리지 (배)</t>
  </si>
  <si>
    <t>유지 증거금율 (Maint. Margin %)</t>
  </si>
  <si>
    <t>추천 손절 범위 (평단 대비 %)</t>
  </si>
  <si>
    <t>대단계</t>
  </si>
  <si>
    <t>소단계</t>
  </si>
  <si>
    <t>진입 가격 (USDT)</t>
  </si>
  <si>
    <t>2배·등차 가중치</t>
  </si>
  <si>
    <t>해당 단계 진입 수량 (BTC)</t>
  </si>
  <si>
    <t>해당 단계 증거금 (USDT)</t>
  </si>
  <si>
    <t>누적 수량 (BTC)</t>
  </si>
  <si>
    <t>누적 증거금 (USDT)</t>
  </si>
  <si>
    <t>평단가 (USDT)</t>
  </si>
  <si>
    <t>가용 잔고 (Free Margin)</t>
  </si>
  <si>
    <t>예상 청산가 (USDT)</t>
  </si>
  <si>
    <t>청산까지 남은 %</t>
  </si>
  <si>
    <t>목표ROE</t>
  </si>
  <si>
    <t>목표익절가</t>
  </si>
  <si>
    <t>필요반등폭</t>
  </si>
  <si>
    <t>시스템 스톱로스(SL) 가격</t>
  </si>
  <si>
    <t>1차</t>
  </si>
  <si>
    <t>1단계</t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</si>
  <si>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</si>
  <si>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</si>
  <si>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</si>
  <si>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</si>
  <si>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</si>
  <si>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</si>
  <si>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</si>
  <si>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</si>
  <si>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</si>
  <si>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11단계</t>
  </si>
  <si>
    <t>12단계</t>
  </si>
  <si>
    <t>13단계</t>
  </si>
  <si>
    <t>14단계</t>
  </si>
  <si>
    <t>15단계</t>
  </si>
  <si>
    <t>16단계</t>
  </si>
  <si>
    <t>17단계</t>
  </si>
  <si>
    <t>18단계</t>
  </si>
  <si>
    <t>19단계</t>
  </si>
  <si>
    <t>20단계</t>
  </si>
  <si>
    <t>2차</t>
  </si>
  <si>
    <t>3차</t>
  </si>
  <si>
    <t>4차</t>
  </si>
  <si>
    <t>5차</t>
  </si>
  <si>
    <t>제까갓 마틴게일-스파이더 매매법 시뮬레이터 (숏 가중치 완전교정 V13)</t>
  </si>
  <si>
    <t>필요하락폭</t>
  </si>
  <si>
    <t>② [250불 완벽 고정 &amp; 2.5불 쪼개기] 대단계 전환 지점 가중치 역전 현상 완전 해결 버전입니다.</t>
  </si>
  <si>
    <t>시작 이더리움 가격 (USDT)</t>
  </si>
  <si>
    <t>해당 단계 진입 수량 (ETH)</t>
  </si>
  <si>
    <t>누적 수량 (ETH)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</si>
</sst>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%"/>
    <numFmt numFmtId="177" formatCode="0.0%"/>
    <numFmt numFmtId="178" formatCode="#,##0.000"/>
    <numFmt numFmtId="179" formatCode="#,##0.0"/>
  </numFmts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E0E0E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9C000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4495E"/>
        <bgColor rgb="FF34495E"/>
      </patternFill>
    </fill>
    <fill>
      <patternFill patternType="solid">
        <fgColor rgb="FFF2F5F8"/>
        <bgColor rgb="FFF2F5F8"/>
      </patternFill>
    </fill>
    <fill>
      <patternFill patternType="solid">
        <fgColor rgb="FFDCE6F1"/>
        <bgColor rgb="FFDCE6F1"/>
      </patternFill>
    </fill>
    <fill>
      <patternFill patternType="solid">
        <fgColor rgb="FFFADBD8"/>
        <bgColor rgb="FFFADBD8"/>
      </patternFill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1">
    <border>
      <left/>
      <right/>
      <top/>
      <bottom/>
      <diagonal/>
    </border>
    <border>
      <left style="thin">
        <color rgb="FFB0C4DE"/>
      </left>
      <right/>
      <top style="thin">
        <color rgb="FFB0C4DE"/>
      </top>
      <bottom/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/>
      <top/>
      <bottom/>
      <diagonal/>
    </border>
    <border>
      <left/>
      <right/>
      <top/>
      <bottom/>
      <diagonal/>
    </border>
    <border>
      <left/>
      <right style="thin">
        <color rgb="FFB0C4DE"/>
      </right>
      <top/>
      <bottom/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/>
    <xf numFmtId="3" fontId="6" fillId="5" borderId="0" xfId="0" applyNumberFormat="1" applyFont="1" applyFill="1"/>
    <xf numFmtId="0" fontId="6" fillId="5" borderId="0" xfId="0" applyFont="1" applyFill="1"/>
    <xf numFmtId="176" fontId="6" fillId="5" borderId="0" xfId="0" applyNumberFormat="1" applyFont="1" applyFill="1"/>
    <xf numFmtId="177" fontId="7" fillId="6" borderId="0" xfId="0" applyNumberFormat="1" applyFont="1" applyFill="1"/>
    <xf numFmtId="0" fontId="8" fillId="7" borderId="0" xfId="0" applyFont="1" applyFill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178" fontId="9" fillId="0" borderId="10" xfId="0" applyNumberFormat="1" applyFont="1" applyBorder="1" applyAlignment="1">
      <alignment horizontal="right" vertical="center"/>
    </xf>
    <xf numFmtId="178" fontId="6" fillId="8" borderId="10" xfId="0" applyNumberFormat="1" applyFont="1" applyFill="1" applyBorder="1" applyAlignment="1">
      <alignment horizontal="right" vertical="center"/>
    </xf>
    <xf numFmtId="179" fontId="9" fillId="0" borderId="10" xfId="0" applyNumberFormat="1" applyFont="1" applyBorder="1" applyAlignment="1">
      <alignment horizontal="right" vertical="center"/>
    </xf>
    <xf numFmtId="3" fontId="6" fillId="9" borderId="10" xfId="0" applyNumberFormat="1" applyFont="1" applyFill="1" applyBorder="1" applyAlignment="1">
      <alignment horizontal="right" vertical="center"/>
    </xf>
    <xf numFmtId="10" fontId="9" fillId="0" borderId="10" xfId="0" applyNumberFormat="1" applyFont="1" applyBorder="1" applyAlignment="1">
      <alignment horizontal="right" vertical="center"/>
    </xf>
    <xf numFmtId="3" fontId="6" fillId="10" borderId="10" xfId="0" applyNumberFormat="1" applyFont="1" applyFill="1" applyBorder="1" applyAlignment="1">
      <alignment horizontal="right" vertical="center"/>
    </xf>
    <xf numFmtId="3" fontId="10" fillId="6" borderId="10" xfId="0" applyNumberFormat="1" applyFont="1" applyFill="1" applyBorder="1" applyAlignment="1">
      <alignment horizontal="right" vertical="center"/>
    </xf>
    <xf numFmtId="179" fontId="6" fillId="9" borderId="10" xfId="0" applyNumberFormat="1" applyFont="1" applyFill="1" applyBorder="1" applyAlignment="1">
      <alignment horizontal="right" vertical="center"/>
    </xf>
    <xf numFmtId="179" fontId="6" fillId="10" borderId="10" xfId="0" applyNumberFormat="1" applyFont="1" applyFill="1" applyBorder="1" applyAlignment="1">
      <alignment horizontal="right" vertical="center"/>
    </xf>
    <xf numFmtId="179" fontId="10" fillId="6" borderId="10" xfId="0" applyNumberFormat="1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left" vertical="center" indent="1"/>
    </xf>
    <xf numFmtId="0" fontId="0" fillId="4" borderId="8" xfId="0" applyFill="1" applyBorder="1"/>
    <xf numFmtId="0" fontId="0" fillId="4" borderId="9" xfId="0" applyFill="1" applyBorder="1"/>
    <xf numFmtId="0" fontId="5" fillId="4" borderId="4" xfId="0" applyFont="1" applyFill="1" applyBorder="1" applyAlignment="1">
      <alignment horizontal="left" vertical="center" indent="1"/>
    </xf>
    <xf numFmtId="0" fontId="0" fillId="4" borderId="5" xfId="0" applyFill="1" applyBorder="1"/>
    <xf numFmtId="0" fontId="0" fillId="4" borderId="6" xfId="0" applyFill="1" applyBorder="1"/>
    <xf numFmtId="0" fontId="3" fillId="4" borderId="1" xfId="0" applyFont="1" applyFill="1" applyBorder="1" applyAlignment="1">
      <alignment horizontal="left" vertical="center" indent="1"/>
    </xf>
    <xf numFmtId="0" fontId="0" fillId="4" borderId="2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tabSelected="1"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8</v>
      </c>
      <c r="C11" s="2">
        <v>64000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27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8">
        <f>$C$11-0</f>
        <v>64000</v>
      </c>
      <c r="E19" s="9">
        <v>10</v>
      </c>
      <c r="F19" s="10">
        <f t="shared" ref="F19:F50" si="0">(G19*$C$13)/D19</f>
        <v>1.8125000000000001E-3</v>
      </c>
      <c r="G19" s="11">
        <f t="shared" ref="G19:G50" si="1">ROUND($C$12*E19/SUM($E$19:$E$118), 1)</f>
        <v>5.8</v>
      </c>
      <c r="H19" s="10">
        <f>F19</f>
        <v>1.8125000000000001E-3</v>
      </c>
      <c r="I19" s="12">
        <f>G19</f>
        <v>5.8</v>
      </c>
      <c r="J19" s="13">
        <f t="shared" ref="J19:J50" si="2">I19*$C$13/H19</f>
        <v>64000</v>
      </c>
      <c r="K19" s="12">
        <f t="shared" ref="K19:K50" si="3">$C$12-I19+H19*(D19-J19)</f>
        <v>9994.2000000000007</v>
      </c>
      <c r="L19" s="8">
        <f t="shared" ref="L19:L50" si="4">(J19*H19-$C$12)/(H19*(1-$C$14))</f>
        <v>-5480644.6023219544</v>
      </c>
      <c r="M19" s="14">
        <f t="shared" ref="M19:M50" si="5">(D19-L19)/D19</f>
        <v>86.635071911280534</v>
      </c>
      <c r="N19" s="14">
        <f t="shared" ref="N19:N50" si="6">IF(OR(B19="1차",B19="2차"),0.1,IF(OR(B19="3차",B19="4차"),0.05,0.02))</f>
        <v>0.1</v>
      </c>
      <c r="O19" s="15">
        <f t="shared" ref="O19:O50" si="7">J19*(1+N19/$C$13)</f>
        <v>64319.999999999993</v>
      </c>
      <c r="P19" s="8">
        <f t="shared" ref="P19:P50" si="8">O19-J19</f>
        <v>319.99999999999272</v>
      </c>
      <c r="Q19" s="16">
        <f t="shared" ref="Q19:Q50" si="9">J19*(1-$C$15)</f>
        <v>62080</v>
      </c>
    </row>
    <row r="20" spans="2:17" ht="17.100000000000001" customHeight="1" x14ac:dyDescent="0.3">
      <c r="B20" s="7" t="s">
        <v>29</v>
      </c>
      <c r="C20" s="7" t="s">
        <v>31</v>
      </c>
      <c r="D20" s="8">
        <f>$C$11-50</f>
        <v>63950</v>
      </c>
      <c r="E20" s="9">
        <v>11</v>
      </c>
      <c r="F20" s="10">
        <f t="shared" si="0"/>
        <v>2.001563721657545E-3</v>
      </c>
      <c r="G20" s="11">
        <f t="shared" si="1"/>
        <v>6.4</v>
      </c>
      <c r="H20" s="10">
        <f t="shared" ref="H20:H51" si="10">H19+F20</f>
        <v>3.8140637216575448E-3</v>
      </c>
      <c r="I20" s="12">
        <f t="shared" ref="I20:I51" si="11">I19+G20</f>
        <v>12.2</v>
      </c>
      <c r="J20" s="13">
        <f t="shared" si="2"/>
        <v>63973.760746178785</v>
      </c>
      <c r="K20" s="12">
        <f t="shared" si="3"/>
        <v>9987.7093749999985</v>
      </c>
      <c r="L20" s="8">
        <f t="shared" si="4"/>
        <v>-2570755.456955763</v>
      </c>
      <c r="M20" s="14">
        <f t="shared" si="5"/>
        <v>41.199459842936093</v>
      </c>
      <c r="N20" s="14">
        <f t="shared" si="6"/>
        <v>0.1</v>
      </c>
      <c r="O20" s="15">
        <f t="shared" si="7"/>
        <v>64293.629549909674</v>
      </c>
      <c r="P20" s="8">
        <f t="shared" si="8"/>
        <v>319.86880373088934</v>
      </c>
      <c r="Q20" s="16">
        <f t="shared" si="9"/>
        <v>62054.54792379342</v>
      </c>
    </row>
    <row r="21" spans="2:17" ht="17.100000000000001" customHeight="1" x14ac:dyDescent="0.3">
      <c r="B21" s="7" t="s">
        <v>29</v>
      </c>
      <c r="C21" s="7" t="s">
        <v>32</v>
      </c>
      <c r="D21" s="8">
        <f>$C$11-100</f>
        <v>63900</v>
      </c>
      <c r="E21" s="9">
        <v>12</v>
      </c>
      <c r="F21" s="10">
        <f t="shared" si="0"/>
        <v>2.1909233176838809E-3</v>
      </c>
      <c r="G21" s="11">
        <f t="shared" si="1"/>
        <v>7</v>
      </c>
      <c r="H21" s="10">
        <f t="shared" si="10"/>
        <v>6.0049870393414258E-3</v>
      </c>
      <c r="I21" s="12">
        <f t="shared" si="11"/>
        <v>19.2</v>
      </c>
      <c r="J21" s="13">
        <f t="shared" si="2"/>
        <v>63946.849091303578</v>
      </c>
      <c r="K21" s="12">
        <f t="shared" si="3"/>
        <v>9980.5186718139157</v>
      </c>
      <c r="L21" s="8">
        <f t="shared" si="4"/>
        <v>-1609382.5922895081</v>
      </c>
      <c r="M21" s="14">
        <f t="shared" si="5"/>
        <v>26.185956060868673</v>
      </c>
      <c r="N21" s="14">
        <f t="shared" si="6"/>
        <v>0.1</v>
      </c>
      <c r="O21" s="15">
        <f t="shared" si="7"/>
        <v>64266.583336760086</v>
      </c>
      <c r="P21" s="8">
        <f t="shared" si="8"/>
        <v>319.73424545650778</v>
      </c>
      <c r="Q21" s="16">
        <f t="shared" si="9"/>
        <v>62028.443618564466</v>
      </c>
    </row>
    <row r="22" spans="2:17" ht="17.100000000000001" customHeight="1" x14ac:dyDescent="0.3">
      <c r="B22" s="7" t="s">
        <v>29</v>
      </c>
      <c r="C22" s="7" t="s">
        <v>33</v>
      </c>
      <c r="D22" s="8">
        <f>$C$11-150</f>
        <v>63850</v>
      </c>
      <c r="E22" s="9">
        <v>13</v>
      </c>
      <c r="F22" s="10">
        <f t="shared" si="0"/>
        <v>2.3805794831636647E-3</v>
      </c>
      <c r="G22" s="11">
        <f t="shared" si="1"/>
        <v>7.6</v>
      </c>
      <c r="H22" s="10">
        <f t="shared" si="10"/>
        <v>8.3855665225050901E-3</v>
      </c>
      <c r="I22" s="12">
        <f t="shared" si="11"/>
        <v>26.799999999999997</v>
      </c>
      <c r="J22" s="13">
        <f t="shared" si="2"/>
        <v>63919.354591188225</v>
      </c>
      <c r="K22" s="12">
        <f t="shared" si="3"/>
        <v>9972.6184224619501</v>
      </c>
      <c r="L22" s="8">
        <f t="shared" si="4"/>
        <v>-1134277.3041532387</v>
      </c>
      <c r="M22" s="14">
        <f t="shared" si="5"/>
        <v>18.764718937403895</v>
      </c>
      <c r="N22" s="14">
        <f t="shared" si="6"/>
        <v>0.1</v>
      </c>
      <c r="O22" s="15">
        <f t="shared" si="7"/>
        <v>64238.951364144159</v>
      </c>
      <c r="P22" s="8">
        <f t="shared" si="8"/>
        <v>319.59677295593428</v>
      </c>
      <c r="Q22" s="16">
        <f t="shared" si="9"/>
        <v>62001.773953452575</v>
      </c>
    </row>
    <row r="23" spans="2:17" ht="17.100000000000001" customHeight="1" x14ac:dyDescent="0.3">
      <c r="B23" s="7" t="s">
        <v>29</v>
      </c>
      <c r="C23" s="7" t="s">
        <v>34</v>
      </c>
      <c r="D23" s="8">
        <f>$C$11-200</f>
        <v>63800</v>
      </c>
      <c r="E23" s="9">
        <v>14</v>
      </c>
      <c r="F23" s="10">
        <f t="shared" si="0"/>
        <v>2.5705329153605017E-3</v>
      </c>
      <c r="G23" s="11">
        <f t="shared" si="1"/>
        <v>8.1999999999999993</v>
      </c>
      <c r="H23" s="10">
        <f t="shared" si="10"/>
        <v>1.0956099437865591E-2</v>
      </c>
      <c r="I23" s="12">
        <f t="shared" si="11"/>
        <v>35</v>
      </c>
      <c r="J23" s="13">
        <f t="shared" si="2"/>
        <v>63891.351476850985</v>
      </c>
      <c r="K23" s="12">
        <f t="shared" si="3"/>
        <v>9963.9991441358252</v>
      </c>
      <c r="L23" s="8">
        <f t="shared" si="4"/>
        <v>-853107.77994933841</v>
      </c>
      <c r="M23" s="14">
        <f t="shared" si="5"/>
        <v>14.371595297011574</v>
      </c>
      <c r="N23" s="14">
        <f t="shared" si="6"/>
        <v>0.1</v>
      </c>
      <c r="O23" s="15">
        <f t="shared" si="7"/>
        <v>64210.808234235235</v>
      </c>
      <c r="P23" s="8">
        <f t="shared" si="8"/>
        <v>319.45675738425052</v>
      </c>
      <c r="Q23" s="16">
        <f t="shared" si="9"/>
        <v>61974.610932545453</v>
      </c>
    </row>
    <row r="24" spans="2:17" ht="17.100000000000001" customHeight="1" x14ac:dyDescent="0.3">
      <c r="B24" s="7" t="s">
        <v>29</v>
      </c>
      <c r="C24" s="7" t="s">
        <v>35</v>
      </c>
      <c r="D24" s="8">
        <f>$C$11-250</f>
        <v>63750</v>
      </c>
      <c r="E24" s="9">
        <v>15</v>
      </c>
      <c r="F24" s="10">
        <f t="shared" si="0"/>
        <v>2.7607843137254901E-3</v>
      </c>
      <c r="G24" s="11">
        <f t="shared" si="1"/>
        <v>8.8000000000000007</v>
      </c>
      <c r="H24" s="10">
        <f t="shared" si="10"/>
        <v>1.3716883751591082E-2</v>
      </c>
      <c r="I24" s="12">
        <f t="shared" si="11"/>
        <v>43.8</v>
      </c>
      <c r="J24" s="13">
        <f t="shared" si="2"/>
        <v>63862.901797821891</v>
      </c>
      <c r="K24" s="12">
        <f t="shared" si="3"/>
        <v>9954.6513391639328</v>
      </c>
      <c r="L24" s="8">
        <f t="shared" si="4"/>
        <v>-668508.19853069796</v>
      </c>
      <c r="M24" s="14">
        <f t="shared" si="5"/>
        <v>11.486403114207027</v>
      </c>
      <c r="N24" s="14">
        <f t="shared" si="6"/>
        <v>0.1</v>
      </c>
      <c r="O24" s="15">
        <f t="shared" si="7"/>
        <v>64182.216306810995</v>
      </c>
      <c r="P24" s="8">
        <f t="shared" si="8"/>
        <v>319.31450898910407</v>
      </c>
      <c r="Q24" s="16">
        <f t="shared" si="9"/>
        <v>61947.01474388723</v>
      </c>
    </row>
    <row r="25" spans="2:17" ht="17.100000000000001" customHeight="1" x14ac:dyDescent="0.3">
      <c r="B25" s="7" t="s">
        <v>29</v>
      </c>
      <c r="C25" s="7" t="s">
        <v>36</v>
      </c>
      <c r="D25" s="8">
        <f>$C$11-300</f>
        <v>63700</v>
      </c>
      <c r="E25" s="9">
        <v>16</v>
      </c>
      <c r="F25" s="10">
        <f t="shared" si="0"/>
        <v>2.9199372056514915E-3</v>
      </c>
      <c r="G25" s="11">
        <f t="shared" si="1"/>
        <v>9.3000000000000007</v>
      </c>
      <c r="H25" s="10">
        <f t="shared" si="10"/>
        <v>1.6636820957242573E-2</v>
      </c>
      <c r="I25" s="12">
        <f t="shared" si="11"/>
        <v>53.099999999999994</v>
      </c>
      <c r="J25" s="13">
        <f t="shared" si="2"/>
        <v>63834.310817516809</v>
      </c>
      <c r="K25" s="12">
        <f t="shared" si="3"/>
        <v>9944.6654949763524</v>
      </c>
      <c r="L25" s="8">
        <f t="shared" si="4"/>
        <v>-539941.77108420187</v>
      </c>
      <c r="M25" s="14">
        <f t="shared" si="5"/>
        <v>9.4763229369576436</v>
      </c>
      <c r="N25" s="14">
        <f t="shared" si="6"/>
        <v>0.1</v>
      </c>
      <c r="O25" s="15">
        <f t="shared" si="7"/>
        <v>64153.482371604383</v>
      </c>
      <c r="P25" s="8">
        <f t="shared" si="8"/>
        <v>319.1715540875739</v>
      </c>
      <c r="Q25" s="16">
        <f t="shared" si="9"/>
        <v>61919.2814929913</v>
      </c>
    </row>
    <row r="26" spans="2:17" ht="17.100000000000001" customHeight="1" x14ac:dyDescent="0.3">
      <c r="B26" s="7" t="s">
        <v>29</v>
      </c>
      <c r="C26" s="7" t="s">
        <v>37</v>
      </c>
      <c r="D26" s="8">
        <f>$C$11-350</f>
        <v>63650</v>
      </c>
      <c r="E26" s="9">
        <v>17</v>
      </c>
      <c r="F26" s="10">
        <f t="shared" si="0"/>
        <v>3.1107619795758051E-3</v>
      </c>
      <c r="G26" s="11">
        <f t="shared" si="1"/>
        <v>9.9</v>
      </c>
      <c r="H26" s="10">
        <f t="shared" si="10"/>
        <v>1.9747582936818379E-2</v>
      </c>
      <c r="I26" s="12">
        <f t="shared" si="11"/>
        <v>62.999999999999993</v>
      </c>
      <c r="J26" s="13">
        <f t="shared" si="2"/>
        <v>63805.277032197846</v>
      </c>
      <c r="K26" s="12">
        <f t="shared" si="3"/>
        <v>9933.9336539284905</v>
      </c>
      <c r="L26" s="8">
        <f t="shared" si="4"/>
        <v>-444809.85982404818</v>
      </c>
      <c r="M26" s="14">
        <f t="shared" si="5"/>
        <v>7.9883717175812752</v>
      </c>
      <c r="N26" s="14">
        <f t="shared" si="6"/>
        <v>0.1</v>
      </c>
      <c r="O26" s="15">
        <f t="shared" si="7"/>
        <v>64124.303417358831</v>
      </c>
      <c r="P26" s="8">
        <f t="shared" si="8"/>
        <v>319.02638516098523</v>
      </c>
      <c r="Q26" s="16">
        <f t="shared" si="9"/>
        <v>61891.118721231906</v>
      </c>
    </row>
    <row r="27" spans="2:17" ht="17.100000000000001" customHeight="1" x14ac:dyDescent="0.3">
      <c r="B27" s="7" t="s">
        <v>29</v>
      </c>
      <c r="C27" s="7" t="s">
        <v>38</v>
      </c>
      <c r="D27" s="8">
        <f>$C$11-400</f>
        <v>63600</v>
      </c>
      <c r="E27" s="9">
        <v>18</v>
      </c>
      <c r="F27" s="10">
        <f t="shared" si="0"/>
        <v>3.3018867924528303E-3</v>
      </c>
      <c r="G27" s="11">
        <f t="shared" si="1"/>
        <v>10.5</v>
      </c>
      <c r="H27" s="10">
        <f t="shared" si="10"/>
        <v>2.3049469729271209E-2</v>
      </c>
      <c r="I27" s="12">
        <f t="shared" si="11"/>
        <v>73.5</v>
      </c>
      <c r="J27" s="13">
        <f t="shared" si="2"/>
        <v>63775.870649779121</v>
      </c>
      <c r="K27" s="12">
        <f t="shared" si="3"/>
        <v>9922.4462747816488</v>
      </c>
      <c r="L27" s="8">
        <f t="shared" si="4"/>
        <v>-371933.25583195977</v>
      </c>
      <c r="M27" s="14">
        <f t="shared" si="5"/>
        <v>6.8480071671691789</v>
      </c>
      <c r="N27" s="14">
        <f t="shared" si="6"/>
        <v>0.1</v>
      </c>
      <c r="O27" s="15">
        <f t="shared" si="7"/>
        <v>64094.750003028006</v>
      </c>
      <c r="P27" s="8">
        <f t="shared" si="8"/>
        <v>318.87935324888531</v>
      </c>
      <c r="Q27" s="16">
        <f t="shared" si="9"/>
        <v>61862.594530285744</v>
      </c>
    </row>
    <row r="28" spans="2:17" ht="17.100000000000001" customHeight="1" x14ac:dyDescent="0.3">
      <c r="B28" s="7" t="s">
        <v>29</v>
      </c>
      <c r="C28" s="7" t="s">
        <v>39</v>
      </c>
      <c r="D28" s="8">
        <f>$C$11-450</f>
        <v>63550</v>
      </c>
      <c r="E28" s="9">
        <v>19</v>
      </c>
      <c r="F28" s="10">
        <f t="shared" si="0"/>
        <v>3.4933123524783635E-3</v>
      </c>
      <c r="G28" s="11">
        <f t="shared" si="1"/>
        <v>11.1</v>
      </c>
      <c r="H28" s="10">
        <f t="shared" si="10"/>
        <v>2.6542782081749573E-2</v>
      </c>
      <c r="I28" s="12">
        <f t="shared" si="11"/>
        <v>84.6</v>
      </c>
      <c r="J28" s="13">
        <f t="shared" si="2"/>
        <v>63746.14367057605</v>
      </c>
      <c r="K28" s="12">
        <f t="shared" si="3"/>
        <v>9910.193801295185</v>
      </c>
      <c r="L28" s="8">
        <f t="shared" si="4"/>
        <v>-314576.9994268897</v>
      </c>
      <c r="M28" s="14">
        <f t="shared" si="5"/>
        <v>5.9500708013672652</v>
      </c>
      <c r="N28" s="14">
        <f t="shared" si="6"/>
        <v>0.1</v>
      </c>
      <c r="O28" s="15">
        <f t="shared" si="7"/>
        <v>64064.874388928925</v>
      </c>
      <c r="P28" s="8">
        <f t="shared" si="8"/>
        <v>318.73071835287556</v>
      </c>
      <c r="Q28" s="16">
        <f t="shared" si="9"/>
        <v>61833.759360458767</v>
      </c>
    </row>
    <row r="29" spans="2:17" ht="17.100000000000001" customHeight="1" x14ac:dyDescent="0.3">
      <c r="B29" s="7" t="s">
        <v>29</v>
      </c>
      <c r="C29" s="7" t="s">
        <v>40</v>
      </c>
      <c r="D29" s="8">
        <f>$C$11-500</f>
        <v>63500</v>
      </c>
      <c r="E29" s="9">
        <v>20</v>
      </c>
      <c r="F29" s="10">
        <f t="shared" si="0"/>
        <v>3.68503937007874E-3</v>
      </c>
      <c r="G29" s="11">
        <f t="shared" si="1"/>
        <v>11.7</v>
      </c>
      <c r="H29" s="10">
        <f t="shared" si="10"/>
        <v>3.0227821451828313E-2</v>
      </c>
      <c r="I29" s="12">
        <f t="shared" si="11"/>
        <v>96.3</v>
      </c>
      <c r="J29" s="13">
        <f t="shared" si="2"/>
        <v>63716.136575350421</v>
      </c>
      <c r="K29" s="12">
        <f t="shared" si="3"/>
        <v>9897.166662191099</v>
      </c>
      <c r="L29" s="8">
        <f t="shared" si="4"/>
        <v>-268447.16140900727</v>
      </c>
      <c r="M29" s="14">
        <f t="shared" si="5"/>
        <v>5.2275143528977521</v>
      </c>
      <c r="N29" s="14">
        <f t="shared" si="6"/>
        <v>0.1</v>
      </c>
      <c r="O29" s="15">
        <f t="shared" si="7"/>
        <v>64034.717258227167</v>
      </c>
      <c r="P29" s="8">
        <f t="shared" si="8"/>
        <v>318.58068287674541</v>
      </c>
      <c r="Q29" s="16">
        <f t="shared" si="9"/>
        <v>61804.652478089905</v>
      </c>
    </row>
    <row r="30" spans="2:17" ht="17.100000000000001" customHeight="1" x14ac:dyDescent="0.3">
      <c r="B30" s="7" t="s">
        <v>29</v>
      </c>
      <c r="C30" s="7" t="s">
        <v>41</v>
      </c>
      <c r="D30" s="8">
        <f>$C$11-550</f>
        <v>63450</v>
      </c>
      <c r="E30" s="9">
        <v>21</v>
      </c>
      <c r="F30" s="10">
        <f t="shared" si="0"/>
        <v>3.8770685579196215E-3</v>
      </c>
      <c r="G30" s="11">
        <f t="shared" si="1"/>
        <v>12.3</v>
      </c>
      <c r="H30" s="10">
        <f t="shared" si="10"/>
        <v>3.4104890009747937E-2</v>
      </c>
      <c r="I30" s="12">
        <f t="shared" si="11"/>
        <v>108.6</v>
      </c>
      <c r="J30" s="13">
        <f t="shared" si="2"/>
        <v>63685.881977018369</v>
      </c>
      <c r="K30" s="12">
        <f t="shared" si="3"/>
        <v>9883.3552711185057</v>
      </c>
      <c r="L30" s="8">
        <f t="shared" si="4"/>
        <v>-230680.60566002192</v>
      </c>
      <c r="M30" s="14">
        <f t="shared" si="5"/>
        <v>4.6356281427899431</v>
      </c>
      <c r="N30" s="14">
        <f t="shared" si="6"/>
        <v>0.1</v>
      </c>
      <c r="O30" s="15">
        <f t="shared" si="7"/>
        <v>64004.311386903457</v>
      </c>
      <c r="P30" s="8">
        <f t="shared" si="8"/>
        <v>318.42940988508781</v>
      </c>
      <c r="Q30" s="16">
        <f t="shared" si="9"/>
        <v>61775.305517707813</v>
      </c>
    </row>
    <row r="31" spans="2:17" ht="17.100000000000001" customHeight="1" x14ac:dyDescent="0.3">
      <c r="B31" s="7" t="s">
        <v>29</v>
      </c>
      <c r="C31" s="7" t="s">
        <v>42</v>
      </c>
      <c r="D31" s="8">
        <f>$C$11-600</f>
        <v>63400</v>
      </c>
      <c r="E31" s="9">
        <v>22</v>
      </c>
      <c r="F31" s="10">
        <f t="shared" si="0"/>
        <v>4.0378548895899057E-3</v>
      </c>
      <c r="G31" s="11">
        <f t="shared" si="1"/>
        <v>12.8</v>
      </c>
      <c r="H31" s="10">
        <f t="shared" si="10"/>
        <v>3.8142744899337847E-2</v>
      </c>
      <c r="I31" s="12">
        <f t="shared" si="11"/>
        <v>121.39999999999999</v>
      </c>
      <c r="J31" s="13">
        <f t="shared" si="2"/>
        <v>63655.618031888152</v>
      </c>
      <c r="K31" s="12">
        <f t="shared" si="3"/>
        <v>9868.8500266180199</v>
      </c>
      <c r="L31" s="8">
        <f t="shared" si="4"/>
        <v>-199515.01317851906</v>
      </c>
      <c r="M31" s="14">
        <f t="shared" si="5"/>
        <v>4.1469244980838971</v>
      </c>
      <c r="N31" s="14">
        <f t="shared" si="6"/>
        <v>0.1</v>
      </c>
      <c r="O31" s="15">
        <f t="shared" si="7"/>
        <v>63973.896122047583</v>
      </c>
      <c r="P31" s="8">
        <f t="shared" si="8"/>
        <v>318.27809015943058</v>
      </c>
      <c r="Q31" s="16">
        <f t="shared" si="9"/>
        <v>61745.949490931504</v>
      </c>
    </row>
    <row r="32" spans="2:17" ht="17.100000000000001" customHeight="1" x14ac:dyDescent="0.3">
      <c r="B32" s="7" t="s">
        <v>29</v>
      </c>
      <c r="C32" s="7" t="s">
        <v>43</v>
      </c>
      <c r="D32" s="8">
        <f>$C$11-650</f>
        <v>63350</v>
      </c>
      <c r="E32" s="9">
        <v>23</v>
      </c>
      <c r="F32" s="10">
        <f t="shared" si="0"/>
        <v>4.2304656669297554E-3</v>
      </c>
      <c r="G32" s="11">
        <f t="shared" si="1"/>
        <v>13.4</v>
      </c>
      <c r="H32" s="10">
        <f t="shared" si="10"/>
        <v>4.2373210566267604E-2</v>
      </c>
      <c r="I32" s="12">
        <f t="shared" si="11"/>
        <v>134.79999999999998</v>
      </c>
      <c r="J32" s="13">
        <f t="shared" si="2"/>
        <v>63625.105673399856</v>
      </c>
      <c r="K32" s="12">
        <f t="shared" si="3"/>
        <v>9853.5428893730532</v>
      </c>
      <c r="L32" s="8">
        <f t="shared" si="4"/>
        <v>-173239.25705624287</v>
      </c>
      <c r="M32" s="14">
        <f t="shared" si="5"/>
        <v>3.7346370490330365</v>
      </c>
      <c r="N32" s="14">
        <f t="shared" si="6"/>
        <v>0.1</v>
      </c>
      <c r="O32" s="15">
        <f t="shared" si="7"/>
        <v>63943.231201766845</v>
      </c>
      <c r="P32" s="8">
        <f t="shared" si="8"/>
        <v>318.12552836698887</v>
      </c>
      <c r="Q32" s="16">
        <f t="shared" si="9"/>
        <v>61716.352503197857</v>
      </c>
    </row>
    <row r="33" spans="2:17" ht="17.100000000000001" customHeight="1" x14ac:dyDescent="0.3">
      <c r="B33" s="7" t="s">
        <v>29</v>
      </c>
      <c r="C33" s="7" t="s">
        <v>44</v>
      </c>
      <c r="D33" s="8">
        <f>$C$11-700</f>
        <v>63300</v>
      </c>
      <c r="E33" s="9">
        <v>24</v>
      </c>
      <c r="F33" s="10">
        <f t="shared" si="0"/>
        <v>4.4233807266982625E-3</v>
      </c>
      <c r="G33" s="11">
        <f t="shared" si="1"/>
        <v>14</v>
      </c>
      <c r="H33" s="10">
        <f t="shared" si="10"/>
        <v>4.6796591292965865E-2</v>
      </c>
      <c r="I33" s="12">
        <f t="shared" si="11"/>
        <v>148.79999999999998</v>
      </c>
      <c r="J33" s="13">
        <f t="shared" si="2"/>
        <v>63594.37552553814</v>
      </c>
      <c r="K33" s="12">
        <f t="shared" si="3"/>
        <v>9837.4242288447404</v>
      </c>
      <c r="L33" s="8">
        <f t="shared" si="4"/>
        <v>-150850.65572870401</v>
      </c>
      <c r="M33" s="14">
        <f t="shared" si="5"/>
        <v>3.3831067255719431</v>
      </c>
      <c r="N33" s="14">
        <f t="shared" si="6"/>
        <v>0.1</v>
      </c>
      <c r="O33" s="15">
        <f t="shared" si="7"/>
        <v>63912.347403165826</v>
      </c>
      <c r="P33" s="8">
        <f t="shared" si="8"/>
        <v>317.9718776276859</v>
      </c>
      <c r="Q33" s="16">
        <f t="shared" si="9"/>
        <v>61686.544259771996</v>
      </c>
    </row>
    <row r="34" spans="2:17" ht="17.100000000000001" customHeight="1" x14ac:dyDescent="0.3">
      <c r="B34" s="7" t="s">
        <v>29</v>
      </c>
      <c r="C34" s="7" t="s">
        <v>45</v>
      </c>
      <c r="D34" s="8">
        <f>$C$11-750</f>
        <v>63250</v>
      </c>
      <c r="E34" s="9">
        <v>25</v>
      </c>
      <c r="F34" s="10">
        <f t="shared" si="0"/>
        <v>4.6166007905138343E-3</v>
      </c>
      <c r="G34" s="11">
        <f t="shared" si="1"/>
        <v>14.6</v>
      </c>
      <c r="H34" s="10">
        <f t="shared" si="10"/>
        <v>5.1413192083479699E-2</v>
      </c>
      <c r="I34" s="12">
        <f t="shared" si="11"/>
        <v>163.39999999999998</v>
      </c>
      <c r="J34" s="13">
        <f t="shared" si="2"/>
        <v>63563.452638648494</v>
      </c>
      <c r="K34" s="12">
        <f t="shared" si="3"/>
        <v>9820.4843992800925</v>
      </c>
      <c r="L34" s="8">
        <f t="shared" si="4"/>
        <v>-131597.14212537033</v>
      </c>
      <c r="M34" s="14">
        <f t="shared" si="5"/>
        <v>3.0805872272785821</v>
      </c>
      <c r="N34" s="14">
        <f t="shared" si="6"/>
        <v>0.1</v>
      </c>
      <c r="O34" s="15">
        <f t="shared" si="7"/>
        <v>63881.269901841726</v>
      </c>
      <c r="P34" s="8">
        <f t="shared" si="8"/>
        <v>317.81726319323207</v>
      </c>
      <c r="Q34" s="16">
        <f t="shared" si="9"/>
        <v>61656.549059489036</v>
      </c>
    </row>
    <row r="35" spans="2:17" ht="17.100000000000001" customHeight="1" x14ac:dyDescent="0.3">
      <c r="B35" s="7" t="s">
        <v>29</v>
      </c>
      <c r="C35" s="7" t="s">
        <v>46</v>
      </c>
      <c r="D35" s="8">
        <f>$C$11-800</f>
        <v>63200</v>
      </c>
      <c r="E35" s="9">
        <v>26</v>
      </c>
      <c r="F35" s="10">
        <f t="shared" si="0"/>
        <v>4.8101265822784811E-3</v>
      </c>
      <c r="G35" s="11">
        <f t="shared" si="1"/>
        <v>15.2</v>
      </c>
      <c r="H35" s="10">
        <f t="shared" si="10"/>
        <v>5.6223318665758179E-2</v>
      </c>
      <c r="I35" s="12">
        <f t="shared" si="11"/>
        <v>178.59999999999997</v>
      </c>
      <c r="J35" s="13">
        <f t="shared" si="2"/>
        <v>63532.357832435504</v>
      </c>
      <c r="K35" s="12">
        <f t="shared" si="3"/>
        <v>9802.7137396759172</v>
      </c>
      <c r="L35" s="8">
        <f t="shared" si="4"/>
        <v>-114904.30769381499</v>
      </c>
      <c r="M35" s="14">
        <f t="shared" si="5"/>
        <v>2.8181061343958067</v>
      </c>
      <c r="N35" s="14">
        <f t="shared" si="6"/>
        <v>0.1</v>
      </c>
      <c r="O35" s="15">
        <f t="shared" si="7"/>
        <v>63850.019621597676</v>
      </c>
      <c r="P35" s="8">
        <f t="shared" si="8"/>
        <v>317.66178916217177</v>
      </c>
      <c r="Q35" s="16">
        <f t="shared" si="9"/>
        <v>61626.387097462437</v>
      </c>
    </row>
    <row r="36" spans="2:17" ht="17.100000000000001" customHeight="1" x14ac:dyDescent="0.3">
      <c r="B36" s="7" t="s">
        <v>29</v>
      </c>
      <c r="C36" s="7" t="s">
        <v>47</v>
      </c>
      <c r="D36" s="8">
        <f>$C$11-850</f>
        <v>63150</v>
      </c>
      <c r="E36" s="9">
        <v>27</v>
      </c>
      <c r="F36" s="10">
        <f t="shared" si="0"/>
        <v>5.003958828186857E-3</v>
      </c>
      <c r="G36" s="11">
        <f t="shared" si="1"/>
        <v>15.8</v>
      </c>
      <c r="H36" s="10">
        <f t="shared" si="10"/>
        <v>6.1227277493945034E-2</v>
      </c>
      <c r="I36" s="12">
        <f t="shared" si="11"/>
        <v>194.39999999999998</v>
      </c>
      <c r="J36" s="13">
        <f t="shared" si="2"/>
        <v>63501.108642050865</v>
      </c>
      <c r="K36" s="12">
        <f t="shared" si="3"/>
        <v>9784.1025737426298</v>
      </c>
      <c r="L36" s="8">
        <f t="shared" si="4"/>
        <v>-100326.42017190246</v>
      </c>
      <c r="M36" s="14">
        <f t="shared" si="5"/>
        <v>2.5887002402518204</v>
      </c>
      <c r="N36" s="14">
        <f t="shared" si="6"/>
        <v>0.1</v>
      </c>
      <c r="O36" s="15">
        <f t="shared" si="7"/>
        <v>63818.614185261111</v>
      </c>
      <c r="P36" s="8">
        <f t="shared" si="8"/>
        <v>317.50554321024538</v>
      </c>
      <c r="Q36" s="16">
        <f t="shared" si="9"/>
        <v>61596.075382789335</v>
      </c>
    </row>
    <row r="37" spans="2:17" ht="17.100000000000001" customHeight="1" x14ac:dyDescent="0.3">
      <c r="B37" s="7" t="s">
        <v>29</v>
      </c>
      <c r="C37" s="7" t="s">
        <v>48</v>
      </c>
      <c r="D37" s="8">
        <f>$C$11-900</f>
        <v>63100</v>
      </c>
      <c r="E37" s="9">
        <v>28</v>
      </c>
      <c r="F37" s="10">
        <f t="shared" si="0"/>
        <v>5.1664025356576862E-3</v>
      </c>
      <c r="G37" s="11">
        <f t="shared" si="1"/>
        <v>16.3</v>
      </c>
      <c r="H37" s="10">
        <f t="shared" si="10"/>
        <v>6.639368002960272E-2</v>
      </c>
      <c r="I37" s="12">
        <f t="shared" si="11"/>
        <v>210.7</v>
      </c>
      <c r="J37" s="13">
        <f t="shared" si="2"/>
        <v>63469.896504021446</v>
      </c>
      <c r="K37" s="12">
        <f t="shared" si="3"/>
        <v>9764.7412098679306</v>
      </c>
      <c r="L37" s="8">
        <f t="shared" si="4"/>
        <v>-87584.772741798239</v>
      </c>
      <c r="M37" s="14">
        <f t="shared" si="5"/>
        <v>2.3880312637368979</v>
      </c>
      <c r="N37" s="14">
        <f t="shared" si="6"/>
        <v>0.1</v>
      </c>
      <c r="O37" s="15">
        <f t="shared" si="7"/>
        <v>63787.245986541544</v>
      </c>
      <c r="P37" s="8">
        <f t="shared" si="8"/>
        <v>317.34948252009781</v>
      </c>
      <c r="Q37" s="16">
        <f t="shared" si="9"/>
        <v>61565.799608900801</v>
      </c>
    </row>
    <row r="38" spans="2:17" ht="17.100000000000001" customHeight="1" x14ac:dyDescent="0.3">
      <c r="B38" s="7" t="s">
        <v>29</v>
      </c>
      <c r="C38" s="7" t="s">
        <v>49</v>
      </c>
      <c r="D38" s="8">
        <f>$C$11-950</f>
        <v>63050</v>
      </c>
      <c r="E38" s="9">
        <v>29</v>
      </c>
      <c r="F38" s="10">
        <f t="shared" si="0"/>
        <v>5.3608247422680414E-3</v>
      </c>
      <c r="G38" s="11">
        <f t="shared" si="1"/>
        <v>16.899999999999999</v>
      </c>
      <c r="H38" s="10">
        <f t="shared" si="10"/>
        <v>7.1754504771870758E-2</v>
      </c>
      <c r="I38" s="12">
        <f t="shared" si="11"/>
        <v>227.6</v>
      </c>
      <c r="J38" s="13">
        <f t="shared" si="2"/>
        <v>63438.525768830579</v>
      </c>
      <c r="K38" s="12">
        <f t="shared" si="3"/>
        <v>9744.5215258664502</v>
      </c>
      <c r="L38" s="8">
        <f t="shared" si="4"/>
        <v>-76307.082068644842</v>
      </c>
      <c r="M38" s="14">
        <f t="shared" si="5"/>
        <v>2.2102629987096725</v>
      </c>
      <c r="N38" s="14">
        <f t="shared" si="6"/>
        <v>0.1</v>
      </c>
      <c r="O38" s="15">
        <f t="shared" si="7"/>
        <v>63755.718397674726</v>
      </c>
      <c r="P38" s="8">
        <f t="shared" si="8"/>
        <v>317.19262884414638</v>
      </c>
      <c r="Q38" s="16">
        <f t="shared" si="9"/>
        <v>61535.369995765657</v>
      </c>
    </row>
    <row r="39" spans="2:17" ht="17.100000000000001" customHeight="1" x14ac:dyDescent="0.3">
      <c r="B39" s="7" t="s">
        <v>50</v>
      </c>
      <c r="C39" s="7" t="s">
        <v>30</v>
      </c>
      <c r="D39" s="8">
        <f>$C$11-1000</f>
        <v>63000</v>
      </c>
      <c r="E39" s="9">
        <v>30</v>
      </c>
      <c r="F39" s="10">
        <f t="shared" si="0"/>
        <v>5.5555555555555558E-3</v>
      </c>
      <c r="G39" s="11">
        <f t="shared" si="1"/>
        <v>17.5</v>
      </c>
      <c r="H39" s="10">
        <f t="shared" si="10"/>
        <v>7.7310060327426308E-2</v>
      </c>
      <c r="I39" s="12">
        <f t="shared" si="11"/>
        <v>245.1</v>
      </c>
      <c r="J39" s="13">
        <f t="shared" si="2"/>
        <v>63407.012997259037</v>
      </c>
      <c r="K39" s="12">
        <f t="shared" si="3"/>
        <v>9723.4338006278576</v>
      </c>
      <c r="L39" s="8">
        <f t="shared" si="4"/>
        <v>-66273.626857261945</v>
      </c>
      <c r="M39" s="14">
        <f t="shared" si="5"/>
        <v>2.0519623310676498</v>
      </c>
      <c r="N39" s="14">
        <f t="shared" si="6"/>
        <v>0.1</v>
      </c>
      <c r="O39" s="15">
        <f t="shared" si="7"/>
        <v>63724.048062245325</v>
      </c>
      <c r="P39" s="8">
        <f t="shared" si="8"/>
        <v>317.03506498628849</v>
      </c>
      <c r="Q39" s="16">
        <f t="shared" si="9"/>
        <v>61504.802607341262</v>
      </c>
    </row>
    <row r="40" spans="2:17" ht="17.100000000000001" customHeight="1" x14ac:dyDescent="0.3">
      <c r="B40" s="7" t="s">
        <v>50</v>
      </c>
      <c r="C40" s="7" t="s">
        <v>31</v>
      </c>
      <c r="D40" s="8">
        <f>$C$11-1050</f>
        <v>62950</v>
      </c>
      <c r="E40" s="9">
        <v>32</v>
      </c>
      <c r="F40" s="10">
        <f t="shared" si="0"/>
        <v>5.9412231930103254E-3</v>
      </c>
      <c r="G40" s="11">
        <f t="shared" si="1"/>
        <v>18.7</v>
      </c>
      <c r="H40" s="10">
        <f t="shared" si="10"/>
        <v>8.3251283520436634E-2</v>
      </c>
      <c r="I40" s="12">
        <f t="shared" si="11"/>
        <v>263.8</v>
      </c>
      <c r="J40" s="13">
        <f t="shared" si="2"/>
        <v>63374.39829026589</v>
      </c>
      <c r="K40" s="12">
        <f t="shared" si="3"/>
        <v>9700.8682976114869</v>
      </c>
      <c r="L40" s="8">
        <f t="shared" si="4"/>
        <v>-57029.014961695517</v>
      </c>
      <c r="M40" s="14">
        <f t="shared" si="5"/>
        <v>1.9059414608688723</v>
      </c>
      <c r="N40" s="14">
        <f t="shared" si="6"/>
        <v>0.1</v>
      </c>
      <c r="O40" s="15">
        <f t="shared" si="7"/>
        <v>63691.27028171721</v>
      </c>
      <c r="P40" s="8">
        <f t="shared" si="8"/>
        <v>316.87199145132035</v>
      </c>
      <c r="Q40" s="16">
        <f t="shared" si="9"/>
        <v>61473.16634155791</v>
      </c>
    </row>
    <row r="41" spans="2:17" ht="17.100000000000001" customHeight="1" x14ac:dyDescent="0.3">
      <c r="B41" s="7" t="s">
        <v>50</v>
      </c>
      <c r="C41" s="7" t="s">
        <v>32</v>
      </c>
      <c r="D41" s="8">
        <f>$C$11-1100</f>
        <v>62900</v>
      </c>
      <c r="E41" s="9">
        <v>34</v>
      </c>
      <c r="F41" s="10">
        <f t="shared" si="0"/>
        <v>6.2957074721780608E-3</v>
      </c>
      <c r="G41" s="11">
        <f t="shared" si="1"/>
        <v>19.8</v>
      </c>
      <c r="H41" s="10">
        <f t="shared" si="10"/>
        <v>8.9546990992614692E-2</v>
      </c>
      <c r="I41" s="12">
        <f t="shared" si="11"/>
        <v>283.60000000000002</v>
      </c>
      <c r="J41" s="13">
        <f t="shared" si="2"/>
        <v>63341.045155473657</v>
      </c>
      <c r="K41" s="12">
        <f t="shared" si="3"/>
        <v>9676.9057334354638</v>
      </c>
      <c r="L41" s="8">
        <f t="shared" si="4"/>
        <v>-48575.04083054376</v>
      </c>
      <c r="M41" s="14">
        <f t="shared" si="5"/>
        <v>1.7722582008035574</v>
      </c>
      <c r="N41" s="14">
        <f t="shared" si="6"/>
        <v>0.1</v>
      </c>
      <c r="O41" s="15">
        <f t="shared" si="7"/>
        <v>63657.750381251019</v>
      </c>
      <c r="P41" s="8">
        <f t="shared" si="8"/>
        <v>316.70522577736119</v>
      </c>
      <c r="Q41" s="16">
        <f t="shared" si="9"/>
        <v>61440.813800809447</v>
      </c>
    </row>
    <row r="42" spans="2:17" ht="17.100000000000001" customHeight="1" x14ac:dyDescent="0.3">
      <c r="B42" s="7" t="s">
        <v>50</v>
      </c>
      <c r="C42" s="7" t="s">
        <v>33</v>
      </c>
      <c r="D42" s="8">
        <f>$C$11-1150</f>
        <v>62850</v>
      </c>
      <c r="E42" s="9">
        <v>36</v>
      </c>
      <c r="F42" s="10">
        <f t="shared" si="0"/>
        <v>6.6825775656324578E-3</v>
      </c>
      <c r="G42" s="11">
        <f t="shared" si="1"/>
        <v>21</v>
      </c>
      <c r="H42" s="10">
        <f t="shared" si="10"/>
        <v>9.6229568558247144E-2</v>
      </c>
      <c r="I42" s="12">
        <f t="shared" si="11"/>
        <v>304.60000000000002</v>
      </c>
      <c r="J42" s="13">
        <f t="shared" si="2"/>
        <v>63306.944957490392</v>
      </c>
      <c r="K42" s="12">
        <f t="shared" si="3"/>
        <v>9651.4283838858319</v>
      </c>
      <c r="L42" s="8">
        <f t="shared" si="4"/>
        <v>-40815.294610589466</v>
      </c>
      <c r="M42" s="14">
        <f t="shared" si="5"/>
        <v>1.6494080288081061</v>
      </c>
      <c r="N42" s="14">
        <f t="shared" si="6"/>
        <v>0.1</v>
      </c>
      <c r="O42" s="15">
        <f t="shared" si="7"/>
        <v>63623.479682277837</v>
      </c>
      <c r="P42" s="8">
        <f t="shared" si="8"/>
        <v>316.53472478744516</v>
      </c>
      <c r="Q42" s="16">
        <f t="shared" si="9"/>
        <v>61407.736608765677</v>
      </c>
    </row>
    <row r="43" spans="2:17" ht="17.100000000000001" customHeight="1" x14ac:dyDescent="0.3">
      <c r="B43" s="7" t="s">
        <v>50</v>
      </c>
      <c r="C43" s="7" t="s">
        <v>34</v>
      </c>
      <c r="D43" s="8">
        <f>$C$11-1200</f>
        <v>62800</v>
      </c>
      <c r="E43" s="9">
        <v>38</v>
      </c>
      <c r="F43" s="10">
        <f t="shared" si="0"/>
        <v>7.0700636942675156E-3</v>
      </c>
      <c r="G43" s="11">
        <f t="shared" si="1"/>
        <v>22.2</v>
      </c>
      <c r="H43" s="10">
        <f t="shared" si="10"/>
        <v>0.10329963225251466</v>
      </c>
      <c r="I43" s="12">
        <f t="shared" si="11"/>
        <v>326.8</v>
      </c>
      <c r="J43" s="13">
        <f t="shared" si="2"/>
        <v>63272.248482190422</v>
      </c>
      <c r="K43" s="12">
        <f t="shared" si="3"/>
        <v>9624.4169054579215</v>
      </c>
      <c r="L43" s="8">
        <f t="shared" si="4"/>
        <v>-33702.027386366906</v>
      </c>
      <c r="M43" s="14">
        <f t="shared" si="5"/>
        <v>1.5366564870440591</v>
      </c>
      <c r="N43" s="14">
        <f t="shared" si="6"/>
        <v>0.1</v>
      </c>
      <c r="O43" s="15">
        <f t="shared" si="7"/>
        <v>63588.609724601367</v>
      </c>
      <c r="P43" s="8">
        <f t="shared" si="8"/>
        <v>316.36124241094512</v>
      </c>
      <c r="Q43" s="16">
        <f t="shared" si="9"/>
        <v>61374.081027724707</v>
      </c>
    </row>
    <row r="44" spans="2:17" ht="17.100000000000001" customHeight="1" x14ac:dyDescent="0.3">
      <c r="B44" s="7" t="s">
        <v>50</v>
      </c>
      <c r="C44" s="7" t="s">
        <v>35</v>
      </c>
      <c r="D44" s="8">
        <f>$C$11-1250</f>
        <v>62750</v>
      </c>
      <c r="E44" s="9">
        <v>40</v>
      </c>
      <c r="F44" s="10">
        <f t="shared" si="0"/>
        <v>7.458167330677291E-3</v>
      </c>
      <c r="G44" s="11">
        <f t="shared" si="1"/>
        <v>23.4</v>
      </c>
      <c r="H44" s="10">
        <f t="shared" si="10"/>
        <v>0.11075779958319196</v>
      </c>
      <c r="I44" s="12">
        <f t="shared" si="11"/>
        <v>350.2</v>
      </c>
      <c r="J44" s="13">
        <f t="shared" si="2"/>
        <v>63237.081509001844</v>
      </c>
      <c r="K44" s="12">
        <f t="shared" si="3"/>
        <v>9595.8519238452936</v>
      </c>
      <c r="L44" s="8">
        <f t="shared" si="4"/>
        <v>-27185.943452409036</v>
      </c>
      <c r="M44" s="14">
        <f t="shared" si="5"/>
        <v>1.433242126731618</v>
      </c>
      <c r="N44" s="14">
        <f t="shared" si="6"/>
        <v>0.1</v>
      </c>
      <c r="O44" s="15">
        <f t="shared" si="7"/>
        <v>63553.266916546847</v>
      </c>
      <c r="P44" s="8">
        <f t="shared" si="8"/>
        <v>316.18540754500282</v>
      </c>
      <c r="Q44" s="16">
        <f t="shared" si="9"/>
        <v>61339.969063731784</v>
      </c>
    </row>
    <row r="45" spans="2:17" ht="17.100000000000001" customHeight="1" x14ac:dyDescent="0.3">
      <c r="B45" s="7" t="s">
        <v>50</v>
      </c>
      <c r="C45" s="7" t="s">
        <v>36</v>
      </c>
      <c r="D45" s="8">
        <f>$C$11-1300</f>
        <v>62700</v>
      </c>
      <c r="E45" s="9">
        <v>42</v>
      </c>
      <c r="F45" s="10">
        <f t="shared" si="0"/>
        <v>7.8149920255183407E-3</v>
      </c>
      <c r="G45" s="11">
        <f t="shared" si="1"/>
        <v>24.5</v>
      </c>
      <c r="H45" s="10">
        <f t="shared" si="10"/>
        <v>0.1185727916087103</v>
      </c>
      <c r="I45" s="12">
        <f t="shared" si="11"/>
        <v>374.7</v>
      </c>
      <c r="J45" s="13">
        <f t="shared" si="2"/>
        <v>63201.683103912808</v>
      </c>
      <c r="K45" s="12">
        <f t="shared" si="3"/>
        <v>9565.8140338661342</v>
      </c>
      <c r="L45" s="8">
        <f t="shared" si="4"/>
        <v>-21240.901311790534</v>
      </c>
      <c r="M45" s="14">
        <f t="shared" si="5"/>
        <v>1.3387703558499289</v>
      </c>
      <c r="N45" s="14">
        <f t="shared" si="6"/>
        <v>0.1</v>
      </c>
      <c r="O45" s="15">
        <f t="shared" si="7"/>
        <v>63517.691519432366</v>
      </c>
      <c r="P45" s="8">
        <f t="shared" si="8"/>
        <v>316.00841551955818</v>
      </c>
      <c r="Q45" s="16">
        <f t="shared" si="9"/>
        <v>61305.632610795423</v>
      </c>
    </row>
    <row r="46" spans="2:17" ht="17.100000000000001" customHeight="1" x14ac:dyDescent="0.3">
      <c r="B46" s="7" t="s">
        <v>50</v>
      </c>
      <c r="C46" s="7" t="s">
        <v>37</v>
      </c>
      <c r="D46" s="8">
        <f>$C$11-1350</f>
        <v>62650</v>
      </c>
      <c r="E46" s="9">
        <v>44</v>
      </c>
      <c r="F46" s="10">
        <f t="shared" si="0"/>
        <v>8.2043096568236232E-3</v>
      </c>
      <c r="G46" s="11">
        <f t="shared" si="1"/>
        <v>25.7</v>
      </c>
      <c r="H46" s="10">
        <f t="shared" si="10"/>
        <v>0.12677710126553393</v>
      </c>
      <c r="I46" s="12">
        <f t="shared" si="11"/>
        <v>400.4</v>
      </c>
      <c r="J46" s="13">
        <f t="shared" si="2"/>
        <v>63165.981238420092</v>
      </c>
      <c r="K46" s="12">
        <f t="shared" si="3"/>
        <v>9534.1853942857015</v>
      </c>
      <c r="L46" s="8">
        <f t="shared" si="4"/>
        <v>-15791.574584577837</v>
      </c>
      <c r="M46" s="14">
        <f t="shared" si="5"/>
        <v>1.2520602487562305</v>
      </c>
      <c r="N46" s="14">
        <f t="shared" si="6"/>
        <v>0.1</v>
      </c>
      <c r="O46" s="15">
        <f t="shared" si="7"/>
        <v>63481.811144612184</v>
      </c>
      <c r="P46" s="8">
        <f t="shared" si="8"/>
        <v>315.82990619209158</v>
      </c>
      <c r="Q46" s="16">
        <f t="shared" si="9"/>
        <v>61271.001801267485</v>
      </c>
    </row>
    <row r="47" spans="2:17" ht="17.100000000000001" customHeight="1" x14ac:dyDescent="0.3">
      <c r="B47" s="7" t="s">
        <v>50</v>
      </c>
      <c r="C47" s="7" t="s">
        <v>38</v>
      </c>
      <c r="D47" s="8">
        <f>$C$11-1400</f>
        <v>62600</v>
      </c>
      <c r="E47" s="9">
        <v>46</v>
      </c>
      <c r="F47" s="10">
        <f t="shared" si="0"/>
        <v>8.5942492012779561E-3</v>
      </c>
      <c r="G47" s="11">
        <f t="shared" si="1"/>
        <v>26.9</v>
      </c>
      <c r="H47" s="10">
        <f t="shared" si="10"/>
        <v>0.1353713504668119</v>
      </c>
      <c r="I47" s="12">
        <f t="shared" si="11"/>
        <v>427.29999999999995</v>
      </c>
      <c r="J47" s="13">
        <f t="shared" si="2"/>
        <v>63130.049087418731</v>
      </c>
      <c r="K47" s="12">
        <f t="shared" si="3"/>
        <v>9500.9465392224265</v>
      </c>
      <c r="L47" s="8">
        <f t="shared" si="4"/>
        <v>-10794.799103533916</v>
      </c>
      <c r="M47" s="14">
        <f t="shared" si="5"/>
        <v>1.1724408802481456</v>
      </c>
      <c r="N47" s="14">
        <f t="shared" si="6"/>
        <v>0.1</v>
      </c>
      <c r="O47" s="15">
        <f t="shared" si="7"/>
        <v>63445.699332855816</v>
      </c>
      <c r="P47" s="8">
        <f t="shared" si="8"/>
        <v>315.65024543708569</v>
      </c>
      <c r="Q47" s="16">
        <f t="shared" si="9"/>
        <v>61236.147614796166</v>
      </c>
    </row>
    <row r="48" spans="2:17" ht="17.100000000000001" customHeight="1" x14ac:dyDescent="0.3">
      <c r="B48" s="7" t="s">
        <v>50</v>
      </c>
      <c r="C48" s="7" t="s">
        <v>39</v>
      </c>
      <c r="D48" s="8">
        <f>$C$11-1450</f>
        <v>62550</v>
      </c>
      <c r="E48" s="9">
        <v>48</v>
      </c>
      <c r="F48" s="10">
        <f t="shared" si="0"/>
        <v>8.9528377298161467E-3</v>
      </c>
      <c r="G48" s="11">
        <f t="shared" si="1"/>
        <v>28</v>
      </c>
      <c r="H48" s="10">
        <f t="shared" si="10"/>
        <v>0.14432418819662804</v>
      </c>
      <c r="I48" s="12">
        <f t="shared" si="11"/>
        <v>455.29999999999995</v>
      </c>
      <c r="J48" s="13">
        <f t="shared" si="2"/>
        <v>63094.067001395066</v>
      </c>
      <c r="K48" s="12">
        <f t="shared" si="3"/>
        <v>9466.1779716990841</v>
      </c>
      <c r="L48" s="8">
        <f t="shared" si="4"/>
        <v>-6225.5154422725509</v>
      </c>
      <c r="M48" s="14">
        <f t="shared" si="5"/>
        <v>1.099528624177019</v>
      </c>
      <c r="N48" s="14">
        <f t="shared" si="6"/>
        <v>0.1</v>
      </c>
      <c r="O48" s="15">
        <f t="shared" si="7"/>
        <v>63409.537336402034</v>
      </c>
      <c r="P48" s="8">
        <f t="shared" si="8"/>
        <v>315.47033500696853</v>
      </c>
      <c r="Q48" s="16">
        <f t="shared" si="9"/>
        <v>61201.244991353211</v>
      </c>
    </row>
    <row r="49" spans="2:17" ht="17.100000000000001" customHeight="1" x14ac:dyDescent="0.3">
      <c r="B49" s="7" t="s">
        <v>50</v>
      </c>
      <c r="C49" s="7" t="s">
        <v>40</v>
      </c>
      <c r="D49" s="8">
        <f>$C$11-1500</f>
        <v>62500</v>
      </c>
      <c r="E49" s="9">
        <v>50</v>
      </c>
      <c r="F49" s="10">
        <f t="shared" si="0"/>
        <v>9.3439999999999999E-3</v>
      </c>
      <c r="G49" s="11">
        <f t="shared" si="1"/>
        <v>29.2</v>
      </c>
      <c r="H49" s="10">
        <f t="shared" si="10"/>
        <v>0.15366818819662803</v>
      </c>
      <c r="I49" s="12">
        <f t="shared" si="11"/>
        <v>484.49999999999994</v>
      </c>
      <c r="J49" s="13">
        <f t="shared" si="2"/>
        <v>63057.943961706886</v>
      </c>
      <c r="K49" s="12">
        <f t="shared" si="3"/>
        <v>9429.761762289254</v>
      </c>
      <c r="L49" s="8">
        <f t="shared" si="4"/>
        <v>-2027.4709593508567</v>
      </c>
      <c r="M49" s="14">
        <f t="shared" si="5"/>
        <v>1.0324395353496139</v>
      </c>
      <c r="N49" s="14">
        <f t="shared" si="6"/>
        <v>0.1</v>
      </c>
      <c r="O49" s="15">
        <f t="shared" si="7"/>
        <v>63373.233681515412</v>
      </c>
      <c r="P49" s="8">
        <f t="shared" si="8"/>
        <v>315.28971980852657</v>
      </c>
      <c r="Q49" s="16">
        <f t="shared" si="9"/>
        <v>61166.205642855675</v>
      </c>
    </row>
    <row r="50" spans="2:17" ht="17.100000000000001" customHeight="1" x14ac:dyDescent="0.3">
      <c r="B50" s="7" t="s">
        <v>50</v>
      </c>
      <c r="C50" s="7" t="s">
        <v>41</v>
      </c>
      <c r="D50" s="8">
        <f>$C$11-1550</f>
        <v>62450</v>
      </c>
      <c r="E50" s="9">
        <v>52</v>
      </c>
      <c r="F50" s="10">
        <f t="shared" si="0"/>
        <v>9.735788630904723E-3</v>
      </c>
      <c r="G50" s="11">
        <f t="shared" si="1"/>
        <v>30.4</v>
      </c>
      <c r="H50" s="10">
        <f t="shared" si="10"/>
        <v>0.16340397682753274</v>
      </c>
      <c r="I50" s="12">
        <f t="shared" si="11"/>
        <v>514.9</v>
      </c>
      <c r="J50" s="13">
        <f t="shared" si="2"/>
        <v>63021.721991926694</v>
      </c>
      <c r="K50" s="12">
        <f t="shared" si="3"/>
        <v>9391.6783528794203</v>
      </c>
      <c r="L50" s="8">
        <f t="shared" si="4"/>
        <v>1832.8653515776741</v>
      </c>
      <c r="M50" s="14">
        <f t="shared" si="5"/>
        <v>0.97065067491468893</v>
      </c>
      <c r="N50" s="14">
        <f t="shared" si="6"/>
        <v>0.1</v>
      </c>
      <c r="O50" s="15">
        <f t="shared" si="7"/>
        <v>63336.830601886322</v>
      </c>
      <c r="P50" s="8">
        <f t="shared" si="8"/>
        <v>315.10860995962867</v>
      </c>
      <c r="Q50" s="16">
        <f t="shared" si="9"/>
        <v>61131.070332168892</v>
      </c>
    </row>
    <row r="51" spans="2:17" ht="17.100000000000001" customHeight="1" x14ac:dyDescent="0.3">
      <c r="B51" s="7" t="s">
        <v>50</v>
      </c>
      <c r="C51" s="7" t="s">
        <v>42</v>
      </c>
      <c r="D51" s="8">
        <f>$C$11-1600</f>
        <v>62400</v>
      </c>
      <c r="E51" s="9">
        <v>54</v>
      </c>
      <c r="F51" s="10">
        <f t="shared" ref="F51:F82" si="12">(G51*$C$13)/D51</f>
        <v>1.0096153846153847E-2</v>
      </c>
      <c r="G51" s="11">
        <f t="shared" ref="G51:G82" si="13">ROUND($C$12*E51/SUM($E$19:$E$118), 1)</f>
        <v>31.5</v>
      </c>
      <c r="H51" s="10">
        <f t="shared" si="10"/>
        <v>0.17350013067368658</v>
      </c>
      <c r="I51" s="12">
        <f t="shared" si="11"/>
        <v>546.4</v>
      </c>
      <c r="J51" s="13">
        <f t="shared" ref="J51:J82" si="14">I51*$C$13/H51</f>
        <v>62985.543339751297</v>
      </c>
      <c r="K51" s="12">
        <f t="shared" ref="K51:K82" si="15">$C$12-I51+H51*(D51-J51)</f>
        <v>9352.0081540380434</v>
      </c>
      <c r="L51" s="8">
        <f t="shared" ref="L51:L82" si="16">(J51*H51-$C$12)/(H51*(1-$C$14))</f>
        <v>5375.5770267230373</v>
      </c>
      <c r="M51" s="14">
        <f t="shared" ref="M51:M82" si="17">(D51-L51)/D51</f>
        <v>0.91385293226405384</v>
      </c>
      <c r="N51" s="14">
        <f t="shared" ref="N51:N82" si="18">IF(OR(B51="1차",B51="2차"),0.1,IF(OR(B51="3차",B51="4차"),0.05,0.02))</f>
        <v>0.1</v>
      </c>
      <c r="O51" s="15">
        <f t="shared" ref="O51:O82" si="19">J51*(1+N51/$C$13)</f>
        <v>63300.471056450049</v>
      </c>
      <c r="P51" s="8">
        <f t="shared" ref="P51:P82" si="20">O51-J51</f>
        <v>314.92771669875219</v>
      </c>
      <c r="Q51" s="16">
        <f t="shared" ref="Q51:Q82" si="21">J51*(1-$C$15)</f>
        <v>61095.977039558755</v>
      </c>
    </row>
    <row r="52" spans="2:17" ht="17.100000000000001" customHeight="1" x14ac:dyDescent="0.3">
      <c r="B52" s="7" t="s">
        <v>50</v>
      </c>
      <c r="C52" s="7" t="s">
        <v>43</v>
      </c>
      <c r="D52" s="8">
        <f>$C$11-1650</f>
        <v>62350</v>
      </c>
      <c r="E52" s="9">
        <v>56</v>
      </c>
      <c r="F52" s="10">
        <f t="shared" si="12"/>
        <v>1.0489174017642341E-2</v>
      </c>
      <c r="G52" s="11">
        <f t="shared" si="13"/>
        <v>32.700000000000003</v>
      </c>
      <c r="H52" s="10">
        <f t="shared" ref="H52:H83" si="22">H51+F52</f>
        <v>0.18398930469132893</v>
      </c>
      <c r="I52" s="12">
        <f t="shared" ref="I52:I83" si="23">I51+G52</f>
        <v>579.1</v>
      </c>
      <c r="J52" s="13">
        <f t="shared" si="14"/>
        <v>62949.311208228275</v>
      </c>
      <c r="K52" s="12">
        <f t="shared" si="15"/>
        <v>9310.6331475043589</v>
      </c>
      <c r="L52" s="8">
        <f t="shared" si="16"/>
        <v>8641.5335468064841</v>
      </c>
      <c r="M52" s="14">
        <f t="shared" si="17"/>
        <v>0.86140283004319984</v>
      </c>
      <c r="N52" s="14">
        <f t="shared" si="18"/>
        <v>0.1</v>
      </c>
      <c r="O52" s="15">
        <f t="shared" si="19"/>
        <v>63264.057764269412</v>
      </c>
      <c r="P52" s="8">
        <f t="shared" si="20"/>
        <v>314.7465560411365</v>
      </c>
      <c r="Q52" s="16">
        <f t="shared" si="21"/>
        <v>61060.831871981427</v>
      </c>
    </row>
    <row r="53" spans="2:17" ht="17.100000000000001" customHeight="1" x14ac:dyDescent="0.3">
      <c r="B53" s="7" t="s">
        <v>50</v>
      </c>
      <c r="C53" s="7" t="s">
        <v>44</v>
      </c>
      <c r="D53" s="8">
        <f>$C$11-1700</f>
        <v>62300</v>
      </c>
      <c r="E53" s="9">
        <v>58</v>
      </c>
      <c r="F53" s="10">
        <f t="shared" si="12"/>
        <v>1.0882825040128411E-2</v>
      </c>
      <c r="G53" s="11">
        <f t="shared" si="13"/>
        <v>33.9</v>
      </c>
      <c r="H53" s="10">
        <f t="shared" si="22"/>
        <v>0.19487212973145734</v>
      </c>
      <c r="I53" s="12">
        <f t="shared" si="23"/>
        <v>613</v>
      </c>
      <c r="J53" s="13">
        <f t="shared" si="14"/>
        <v>62913.049787544463</v>
      </c>
      <c r="K53" s="12">
        <f t="shared" si="15"/>
        <v>9267.5336822697936</v>
      </c>
      <c r="L53" s="8">
        <f t="shared" si="16"/>
        <v>11655.626625775736</v>
      </c>
      <c r="M53" s="14">
        <f t="shared" si="17"/>
        <v>0.81291129011595931</v>
      </c>
      <c r="N53" s="14">
        <f t="shared" si="18"/>
        <v>0.1</v>
      </c>
      <c r="O53" s="15">
        <f t="shared" si="19"/>
        <v>63227.615036482181</v>
      </c>
      <c r="P53" s="8">
        <f t="shared" si="20"/>
        <v>314.56524893771712</v>
      </c>
      <c r="Q53" s="16">
        <f t="shared" si="21"/>
        <v>61025.658293918124</v>
      </c>
    </row>
    <row r="54" spans="2:17" ht="17.100000000000001" customHeight="1" x14ac:dyDescent="0.3">
      <c r="B54" s="7" t="s">
        <v>50</v>
      </c>
      <c r="C54" s="7" t="s">
        <v>45</v>
      </c>
      <c r="D54" s="8">
        <f>$C$11-1750</f>
        <v>62250</v>
      </c>
      <c r="E54" s="9">
        <v>60</v>
      </c>
      <c r="F54" s="10">
        <f t="shared" si="12"/>
        <v>1.1244979919678716E-2</v>
      </c>
      <c r="G54" s="11">
        <f t="shared" si="13"/>
        <v>35</v>
      </c>
      <c r="H54" s="10">
        <f t="shared" si="22"/>
        <v>0.20611710965113605</v>
      </c>
      <c r="I54" s="12">
        <f t="shared" si="23"/>
        <v>648</v>
      </c>
      <c r="J54" s="13">
        <f t="shared" si="14"/>
        <v>62876.876266776082</v>
      </c>
      <c r="K54" s="12">
        <f t="shared" si="15"/>
        <v>9222.7900757832194</v>
      </c>
      <c r="L54" s="8">
        <f t="shared" si="16"/>
        <v>14432.93269973767</v>
      </c>
      <c r="M54" s="14">
        <f t="shared" si="17"/>
        <v>0.76814565944196511</v>
      </c>
      <c r="N54" s="14">
        <f t="shared" si="18"/>
        <v>0.1</v>
      </c>
      <c r="O54" s="15">
        <f t="shared" si="19"/>
        <v>63191.260648109957</v>
      </c>
      <c r="P54" s="8">
        <f t="shared" si="20"/>
        <v>314.38438133387535</v>
      </c>
      <c r="Q54" s="16">
        <f t="shared" si="21"/>
        <v>60990.569978772801</v>
      </c>
    </row>
    <row r="55" spans="2:17" ht="17.100000000000001" customHeight="1" x14ac:dyDescent="0.3">
      <c r="B55" s="7" t="s">
        <v>50</v>
      </c>
      <c r="C55" s="7" t="s">
        <v>46</v>
      </c>
      <c r="D55" s="8">
        <f>$C$11-1800</f>
        <v>62200</v>
      </c>
      <c r="E55" s="9">
        <v>62</v>
      </c>
      <c r="F55" s="10">
        <f t="shared" si="12"/>
        <v>1.1639871382636656E-2</v>
      </c>
      <c r="G55" s="11">
        <f t="shared" si="13"/>
        <v>36.200000000000003</v>
      </c>
      <c r="H55" s="10">
        <f t="shared" si="22"/>
        <v>0.21775698103377272</v>
      </c>
      <c r="I55" s="12">
        <f t="shared" si="23"/>
        <v>684.2</v>
      </c>
      <c r="J55" s="13">
        <f t="shared" si="14"/>
        <v>62840.694865611214</v>
      </c>
      <c r="K55" s="12">
        <f t="shared" si="15"/>
        <v>9176.2842203006621</v>
      </c>
      <c r="L55" s="8">
        <f t="shared" si="16"/>
        <v>17002.956898267406</v>
      </c>
      <c r="M55" s="14">
        <f t="shared" si="17"/>
        <v>0.72664056433653679</v>
      </c>
      <c r="N55" s="14">
        <f t="shared" si="18"/>
        <v>0.1</v>
      </c>
      <c r="O55" s="15">
        <f t="shared" si="19"/>
        <v>63154.898339939267</v>
      </c>
      <c r="P55" s="8">
        <f t="shared" si="20"/>
        <v>314.20347432805283</v>
      </c>
      <c r="Q55" s="16">
        <f t="shared" si="21"/>
        <v>60955.474019642876</v>
      </c>
    </row>
    <row r="56" spans="2:17" ht="17.100000000000001" customHeight="1" x14ac:dyDescent="0.3">
      <c r="B56" s="7" t="s">
        <v>50</v>
      </c>
      <c r="C56" s="7" t="s">
        <v>47</v>
      </c>
      <c r="D56" s="8">
        <f>$C$11-1850</f>
        <v>62150</v>
      </c>
      <c r="E56" s="9">
        <v>64</v>
      </c>
      <c r="F56" s="10">
        <f t="shared" si="12"/>
        <v>1.2035398230088496E-2</v>
      </c>
      <c r="G56" s="11">
        <f t="shared" si="13"/>
        <v>37.4</v>
      </c>
      <c r="H56" s="10">
        <f t="shared" si="22"/>
        <v>0.22979237926386123</v>
      </c>
      <c r="I56" s="12">
        <f t="shared" si="23"/>
        <v>721.6</v>
      </c>
      <c r="J56" s="13">
        <f t="shared" si="14"/>
        <v>62804.519654798132</v>
      </c>
      <c r="K56" s="12">
        <f t="shared" si="15"/>
        <v>9127.9963712489753</v>
      </c>
      <c r="L56" s="8">
        <f t="shared" si="16"/>
        <v>19383.895023208152</v>
      </c>
      <c r="M56" s="14">
        <f t="shared" si="17"/>
        <v>0.68811110179874246</v>
      </c>
      <c r="N56" s="14">
        <f t="shared" si="18"/>
        <v>0.1</v>
      </c>
      <c r="O56" s="15">
        <f t="shared" si="19"/>
        <v>63118.542253072119</v>
      </c>
      <c r="P56" s="8">
        <f t="shared" si="20"/>
        <v>314.02259827398666</v>
      </c>
      <c r="Q56" s="16">
        <f t="shared" si="21"/>
        <v>60920.384065154183</v>
      </c>
    </row>
    <row r="57" spans="2:17" ht="17.100000000000001" customHeight="1" x14ac:dyDescent="0.3">
      <c r="B57" s="7" t="s">
        <v>50</v>
      </c>
      <c r="C57" s="7" t="s">
        <v>48</v>
      </c>
      <c r="D57" s="8">
        <f>$C$11-1900</f>
        <v>62100</v>
      </c>
      <c r="E57" s="9">
        <v>66</v>
      </c>
      <c r="F57" s="10">
        <f t="shared" si="12"/>
        <v>1.2399355877616747E-2</v>
      </c>
      <c r="G57" s="11">
        <f t="shared" si="13"/>
        <v>38.5</v>
      </c>
      <c r="H57" s="10">
        <f t="shared" si="22"/>
        <v>0.24219173514147799</v>
      </c>
      <c r="I57" s="12">
        <f t="shared" si="23"/>
        <v>760.1</v>
      </c>
      <c r="J57" s="13">
        <f t="shared" si="14"/>
        <v>62768.450752952594</v>
      </c>
      <c r="K57" s="12">
        <f t="shared" si="15"/>
        <v>9078.0067522857826</v>
      </c>
      <c r="L57" s="8">
        <f t="shared" si="16"/>
        <v>21586.78412565785</v>
      </c>
      <c r="M57" s="14">
        <f t="shared" si="17"/>
        <v>0.65238672905542905</v>
      </c>
      <c r="N57" s="14">
        <f t="shared" si="18"/>
        <v>0.1</v>
      </c>
      <c r="O57" s="15">
        <f t="shared" si="19"/>
        <v>63082.293006717351</v>
      </c>
      <c r="P57" s="8">
        <f t="shared" si="20"/>
        <v>313.84225376475661</v>
      </c>
      <c r="Q57" s="16">
        <f t="shared" si="21"/>
        <v>60885.397230364018</v>
      </c>
    </row>
    <row r="58" spans="2:17" ht="17.100000000000001" customHeight="1" x14ac:dyDescent="0.3">
      <c r="B58" s="7" t="s">
        <v>50</v>
      </c>
      <c r="C58" s="7" t="s">
        <v>49</v>
      </c>
      <c r="D58" s="8">
        <f>$C$11-1950</f>
        <v>62050</v>
      </c>
      <c r="E58" s="9">
        <v>68</v>
      </c>
      <c r="F58" s="10">
        <f t="shared" si="12"/>
        <v>1.2796132151490733E-2</v>
      </c>
      <c r="G58" s="11">
        <f t="shared" si="13"/>
        <v>39.700000000000003</v>
      </c>
      <c r="H58" s="10">
        <f t="shared" si="22"/>
        <v>0.25498786729296874</v>
      </c>
      <c r="I58" s="12">
        <f t="shared" si="23"/>
        <v>799.80000000000007</v>
      </c>
      <c r="J58" s="13">
        <f t="shared" si="14"/>
        <v>62732.396524660413</v>
      </c>
      <c r="K58" s="12">
        <f t="shared" si="15"/>
        <v>9026.1971655287089</v>
      </c>
      <c r="L58" s="8">
        <f t="shared" si="16"/>
        <v>23633.009355471026</v>
      </c>
      <c r="M58" s="14">
        <f t="shared" si="17"/>
        <v>0.61912958331231227</v>
      </c>
      <c r="N58" s="14">
        <f t="shared" si="18"/>
        <v>0.1</v>
      </c>
      <c r="O58" s="15">
        <f t="shared" si="19"/>
        <v>63046.058507283706</v>
      </c>
      <c r="P58" s="8">
        <f t="shared" si="20"/>
        <v>313.66198262329272</v>
      </c>
      <c r="Q58" s="16">
        <f t="shared" si="21"/>
        <v>60850.424628920598</v>
      </c>
    </row>
    <row r="59" spans="2:17" ht="17.100000000000001" customHeight="1" x14ac:dyDescent="0.3">
      <c r="B59" s="7" t="s">
        <v>51</v>
      </c>
      <c r="C59" s="7" t="s">
        <v>30</v>
      </c>
      <c r="D59" s="8">
        <f>$C$11-2000</f>
        <v>62000</v>
      </c>
      <c r="E59" s="9">
        <v>70</v>
      </c>
      <c r="F59" s="10">
        <f t="shared" si="12"/>
        <v>1.3193548387096774E-2</v>
      </c>
      <c r="G59" s="11">
        <f t="shared" si="13"/>
        <v>40.9</v>
      </c>
      <c r="H59" s="10">
        <f t="shared" si="22"/>
        <v>0.26818141568006554</v>
      </c>
      <c r="I59" s="12">
        <f t="shared" si="23"/>
        <v>840.7</v>
      </c>
      <c r="J59" s="13">
        <f t="shared" si="14"/>
        <v>62696.365284530853</v>
      </c>
      <c r="K59" s="12">
        <f t="shared" si="15"/>
        <v>8972.5477721640636</v>
      </c>
      <c r="L59" s="8">
        <f t="shared" si="16"/>
        <v>25535.852992140033</v>
      </c>
      <c r="M59" s="14">
        <f t="shared" si="17"/>
        <v>0.58813140335258007</v>
      </c>
      <c r="N59" s="14">
        <f t="shared" si="18"/>
        <v>0.05</v>
      </c>
      <c r="O59" s="15">
        <f t="shared" si="19"/>
        <v>62853.106197742178</v>
      </c>
      <c r="P59" s="8">
        <f t="shared" si="20"/>
        <v>156.74091321132437</v>
      </c>
      <c r="Q59" s="16">
        <f t="shared" si="21"/>
        <v>60815.474325994925</v>
      </c>
    </row>
    <row r="60" spans="2:17" ht="17.100000000000001" customHeight="1" x14ac:dyDescent="0.3">
      <c r="B60" s="7" t="s">
        <v>51</v>
      </c>
      <c r="C60" s="7" t="s">
        <v>31</v>
      </c>
      <c r="D60" s="8">
        <f>$C$11-2050</f>
        <v>61950</v>
      </c>
      <c r="E60" s="9">
        <v>74</v>
      </c>
      <c r="F60" s="10">
        <f t="shared" si="12"/>
        <v>1.3946731234866828E-2</v>
      </c>
      <c r="G60" s="11">
        <f t="shared" si="13"/>
        <v>43.2</v>
      </c>
      <c r="H60" s="10">
        <f t="shared" si="22"/>
        <v>0.28212814691493238</v>
      </c>
      <c r="I60" s="12">
        <f t="shared" si="23"/>
        <v>883.90000000000009</v>
      </c>
      <c r="J60" s="13">
        <f t="shared" si="14"/>
        <v>62659.469440779663</v>
      </c>
      <c r="K60" s="12">
        <f t="shared" si="15"/>
        <v>8915.9387013800606</v>
      </c>
      <c r="L60" s="8">
        <f t="shared" si="16"/>
        <v>27351.34015855418</v>
      </c>
      <c r="M60" s="14">
        <f t="shared" si="17"/>
        <v>0.55849329848984375</v>
      </c>
      <c r="N60" s="14">
        <f t="shared" si="18"/>
        <v>0.05</v>
      </c>
      <c r="O60" s="15">
        <f t="shared" si="19"/>
        <v>62816.118114381607</v>
      </c>
      <c r="P60" s="8">
        <f t="shared" si="20"/>
        <v>156.6486736019433</v>
      </c>
      <c r="Q60" s="16">
        <f t="shared" si="21"/>
        <v>60779.685357556271</v>
      </c>
    </row>
    <row r="61" spans="2:17" ht="17.100000000000001" customHeight="1" x14ac:dyDescent="0.3">
      <c r="B61" s="7" t="s">
        <v>51</v>
      </c>
      <c r="C61" s="7" t="s">
        <v>32</v>
      </c>
      <c r="D61" s="8">
        <f>$C$11-2100</f>
        <v>61900</v>
      </c>
      <c r="E61" s="9">
        <v>78</v>
      </c>
      <c r="F61" s="10">
        <f t="shared" si="12"/>
        <v>1.4701130856219709E-2</v>
      </c>
      <c r="G61" s="11">
        <f t="shared" si="13"/>
        <v>45.5</v>
      </c>
      <c r="H61" s="10">
        <f t="shared" si="22"/>
        <v>0.29682927777115209</v>
      </c>
      <c r="I61" s="12">
        <f t="shared" si="23"/>
        <v>929.40000000000009</v>
      </c>
      <c r="J61" s="13">
        <f t="shared" si="14"/>
        <v>62621.855025806719</v>
      </c>
      <c r="K61" s="12">
        <f t="shared" si="15"/>
        <v>8856.3322940343151</v>
      </c>
      <c r="L61" s="8">
        <f t="shared" si="16"/>
        <v>29077.845163066682</v>
      </c>
      <c r="M61" s="14">
        <f t="shared" si="17"/>
        <v>0.53024482773721027</v>
      </c>
      <c r="N61" s="14">
        <f t="shared" si="18"/>
        <v>0.05</v>
      </c>
      <c r="O61" s="15">
        <f t="shared" si="19"/>
        <v>62778.409663371232</v>
      </c>
      <c r="P61" s="8">
        <f t="shared" si="20"/>
        <v>156.55463756451354</v>
      </c>
      <c r="Q61" s="16">
        <f t="shared" si="21"/>
        <v>60743.199375032513</v>
      </c>
    </row>
    <row r="62" spans="2:17" ht="17.100000000000001" customHeight="1" x14ac:dyDescent="0.3">
      <c r="B62" s="7" t="s">
        <v>51</v>
      </c>
      <c r="C62" s="7" t="s">
        <v>33</v>
      </c>
      <c r="D62" s="8">
        <f>$C$11-2150</f>
        <v>61850</v>
      </c>
      <c r="E62" s="9">
        <v>82</v>
      </c>
      <c r="F62" s="10">
        <f t="shared" si="12"/>
        <v>1.5489086499595796E-2</v>
      </c>
      <c r="G62" s="11">
        <f t="shared" si="13"/>
        <v>47.9</v>
      </c>
      <c r="H62" s="10">
        <f t="shared" si="22"/>
        <v>0.31231836427074788</v>
      </c>
      <c r="I62" s="12">
        <f t="shared" si="23"/>
        <v>977.30000000000007</v>
      </c>
      <c r="J62" s="13">
        <f t="shared" si="14"/>
        <v>62583.575722930043</v>
      </c>
      <c r="K62" s="12">
        <f t="shared" si="15"/>
        <v>8793.5908301457584</v>
      </c>
      <c r="L62" s="8">
        <f t="shared" si="16"/>
        <v>30718.558198291685</v>
      </c>
      <c r="M62" s="14">
        <f t="shared" si="17"/>
        <v>0.50333778175761223</v>
      </c>
      <c r="N62" s="14">
        <f t="shared" si="18"/>
        <v>0.05</v>
      </c>
      <c r="O62" s="15">
        <f t="shared" si="19"/>
        <v>62740.034662237362</v>
      </c>
      <c r="P62" s="8">
        <f t="shared" si="20"/>
        <v>156.45893930731836</v>
      </c>
      <c r="Q62" s="16">
        <f t="shared" si="21"/>
        <v>60706.068451242143</v>
      </c>
    </row>
    <row r="63" spans="2:17" ht="17.100000000000001" customHeight="1" x14ac:dyDescent="0.3">
      <c r="B63" s="7" t="s">
        <v>51</v>
      </c>
      <c r="C63" s="7" t="s">
        <v>34</v>
      </c>
      <c r="D63" s="8">
        <f>$C$11-2200</f>
        <v>61800</v>
      </c>
      <c r="E63" s="9">
        <v>86</v>
      </c>
      <c r="F63" s="10">
        <f t="shared" si="12"/>
        <v>1.6245954692556634E-2</v>
      </c>
      <c r="G63" s="11">
        <f t="shared" si="13"/>
        <v>50.2</v>
      </c>
      <c r="H63" s="10">
        <f t="shared" si="22"/>
        <v>0.32856431896330451</v>
      </c>
      <c r="I63" s="12">
        <f t="shared" si="23"/>
        <v>1027.5</v>
      </c>
      <c r="J63" s="13">
        <f t="shared" si="14"/>
        <v>62544.831602043538</v>
      </c>
      <c r="K63" s="12">
        <f t="shared" si="15"/>
        <v>8727.7749119322179</v>
      </c>
      <c r="L63" s="8">
        <f t="shared" si="16"/>
        <v>32270.744153935582</v>
      </c>
      <c r="M63" s="14">
        <f t="shared" si="17"/>
        <v>0.4778196738845375</v>
      </c>
      <c r="N63" s="14">
        <f t="shared" si="18"/>
        <v>0.05</v>
      </c>
      <c r="O63" s="15">
        <f t="shared" si="19"/>
        <v>62701.193681048644</v>
      </c>
      <c r="P63" s="8">
        <f t="shared" si="20"/>
        <v>156.36207900510635</v>
      </c>
      <c r="Q63" s="16">
        <f t="shared" si="21"/>
        <v>60668.486653982232</v>
      </c>
    </row>
    <row r="64" spans="2:17" ht="17.100000000000001" customHeight="1" x14ac:dyDescent="0.3">
      <c r="B64" s="7" t="s">
        <v>51</v>
      </c>
      <c r="C64" s="7" t="s">
        <v>35</v>
      </c>
      <c r="D64" s="8">
        <f>$C$11-2250</f>
        <v>61750</v>
      </c>
      <c r="E64" s="9">
        <v>90</v>
      </c>
      <c r="F64" s="10">
        <f t="shared" si="12"/>
        <v>1.7004048582995951E-2</v>
      </c>
      <c r="G64" s="11">
        <f t="shared" si="13"/>
        <v>52.5</v>
      </c>
      <c r="H64" s="10">
        <f t="shared" si="22"/>
        <v>0.34556836754630049</v>
      </c>
      <c r="I64" s="12">
        <f t="shared" si="23"/>
        <v>1080</v>
      </c>
      <c r="J64" s="13">
        <f t="shared" si="14"/>
        <v>62505.721091806685</v>
      </c>
      <c r="K64" s="12">
        <f t="shared" si="15"/>
        <v>8658.8466959840553</v>
      </c>
      <c r="L64" s="8">
        <f t="shared" si="16"/>
        <v>33736.570103524922</v>
      </c>
      <c r="M64" s="14">
        <f t="shared" si="17"/>
        <v>0.45365878374858426</v>
      </c>
      <c r="N64" s="14">
        <f t="shared" si="18"/>
        <v>0.05</v>
      </c>
      <c r="O64" s="15">
        <f t="shared" si="19"/>
        <v>62661.985394536197</v>
      </c>
      <c r="P64" s="8">
        <f t="shared" si="20"/>
        <v>156.26430272951256</v>
      </c>
      <c r="Q64" s="16">
        <f t="shared" si="21"/>
        <v>60630.549459052483</v>
      </c>
    </row>
    <row r="65" spans="2:17" ht="17.100000000000001" customHeight="1" x14ac:dyDescent="0.3">
      <c r="B65" s="7" t="s">
        <v>51</v>
      </c>
      <c r="C65" s="7" t="s">
        <v>36</v>
      </c>
      <c r="D65" s="8">
        <f>$C$11-2300</f>
        <v>61700</v>
      </c>
      <c r="E65" s="9">
        <v>94</v>
      </c>
      <c r="F65" s="10">
        <f t="shared" si="12"/>
        <v>1.7795786061588329E-2</v>
      </c>
      <c r="G65" s="11">
        <f t="shared" si="13"/>
        <v>54.9</v>
      </c>
      <c r="H65" s="10">
        <f t="shared" si="22"/>
        <v>0.36336415360788882</v>
      </c>
      <c r="I65" s="12">
        <f t="shared" si="23"/>
        <v>1134.9000000000001</v>
      </c>
      <c r="J65" s="13">
        <f t="shared" si="14"/>
        <v>62466.260842267118</v>
      </c>
      <c r="K65" s="12">
        <f t="shared" si="15"/>
        <v>8586.668277606741</v>
      </c>
      <c r="L65" s="8">
        <f t="shared" si="16"/>
        <v>35121.265866521251</v>
      </c>
      <c r="M65" s="14">
        <f t="shared" si="17"/>
        <v>0.43077364884082253</v>
      </c>
      <c r="N65" s="14">
        <f t="shared" si="18"/>
        <v>0.05</v>
      </c>
      <c r="O65" s="15">
        <f t="shared" si="19"/>
        <v>62622.426494372783</v>
      </c>
      <c r="P65" s="8">
        <f t="shared" si="20"/>
        <v>156.16565210566478</v>
      </c>
      <c r="Q65" s="16">
        <f t="shared" si="21"/>
        <v>60592.273016999105</v>
      </c>
    </row>
    <row r="66" spans="2:17" ht="17.100000000000001" customHeight="1" x14ac:dyDescent="0.3">
      <c r="B66" s="7" t="s">
        <v>51</v>
      </c>
      <c r="C66" s="7" t="s">
        <v>37</v>
      </c>
      <c r="D66" s="8">
        <f>$C$11-2350</f>
        <v>61650</v>
      </c>
      <c r="E66" s="9">
        <v>98</v>
      </c>
      <c r="F66" s="10">
        <f t="shared" si="12"/>
        <v>1.8556366585563665E-2</v>
      </c>
      <c r="G66" s="11">
        <f t="shared" si="13"/>
        <v>57.2</v>
      </c>
      <c r="H66" s="10">
        <f t="shared" si="22"/>
        <v>0.38192052019345246</v>
      </c>
      <c r="I66" s="12">
        <f t="shared" si="23"/>
        <v>1192.1000000000001</v>
      </c>
      <c r="J66" s="13">
        <f t="shared" si="14"/>
        <v>62426.601188968387</v>
      </c>
      <c r="K66" s="12">
        <f t="shared" si="15"/>
        <v>8511.3000699263393</v>
      </c>
      <c r="L66" s="8">
        <f t="shared" si="16"/>
        <v>36425.269273036625</v>
      </c>
      <c r="M66" s="14">
        <f t="shared" si="17"/>
        <v>0.40916027132138483</v>
      </c>
      <c r="N66" s="14">
        <f t="shared" si="18"/>
        <v>0.05</v>
      </c>
      <c r="O66" s="15">
        <f t="shared" si="19"/>
        <v>62582.667691940806</v>
      </c>
      <c r="P66" s="8">
        <f t="shared" si="20"/>
        <v>156.06650297241868</v>
      </c>
      <c r="Q66" s="16">
        <f t="shared" si="21"/>
        <v>60553.803153299334</v>
      </c>
    </row>
    <row r="67" spans="2:17" ht="17.100000000000001" customHeight="1" x14ac:dyDescent="0.3">
      <c r="B67" s="7" t="s">
        <v>51</v>
      </c>
      <c r="C67" s="7" t="s">
        <v>38</v>
      </c>
      <c r="D67" s="8">
        <f>$C$11-2400</f>
        <v>61600</v>
      </c>
      <c r="E67" s="9">
        <v>102</v>
      </c>
      <c r="F67" s="10">
        <f t="shared" si="12"/>
        <v>1.9318181818181818E-2</v>
      </c>
      <c r="G67" s="11">
        <f t="shared" si="13"/>
        <v>59.5</v>
      </c>
      <c r="H67" s="10">
        <f t="shared" si="22"/>
        <v>0.40123870201163425</v>
      </c>
      <c r="I67" s="12">
        <f t="shared" si="23"/>
        <v>1251.6000000000001</v>
      </c>
      <c r="J67" s="13">
        <f t="shared" si="14"/>
        <v>62386.803352968127</v>
      </c>
      <c r="K67" s="12">
        <f t="shared" si="15"/>
        <v>8432.7040439166667</v>
      </c>
      <c r="L67" s="8">
        <f t="shared" si="16"/>
        <v>37652.244443767937</v>
      </c>
      <c r="M67" s="14">
        <f t="shared" si="17"/>
        <v>0.38876226552324777</v>
      </c>
      <c r="N67" s="14">
        <f t="shared" si="18"/>
        <v>0.05</v>
      </c>
      <c r="O67" s="15">
        <f t="shared" si="19"/>
        <v>62542.770361350544</v>
      </c>
      <c r="P67" s="8">
        <f t="shared" si="20"/>
        <v>155.96700838241668</v>
      </c>
      <c r="Q67" s="16">
        <f t="shared" si="21"/>
        <v>60515.199252379083</v>
      </c>
    </row>
    <row r="68" spans="2:17" ht="17.100000000000001" customHeight="1" x14ac:dyDescent="0.3">
      <c r="B68" s="7" t="s">
        <v>51</v>
      </c>
      <c r="C68" s="7" t="s">
        <v>39</v>
      </c>
      <c r="D68" s="8">
        <f>$C$11-2450</f>
        <v>61550</v>
      </c>
      <c r="E68" s="9">
        <v>106</v>
      </c>
      <c r="F68" s="10">
        <f t="shared" si="12"/>
        <v>2.0113728675873275E-2</v>
      </c>
      <c r="G68" s="11">
        <f t="shared" si="13"/>
        <v>61.9</v>
      </c>
      <c r="H68" s="10">
        <f t="shared" si="22"/>
        <v>0.42135243068750755</v>
      </c>
      <c r="I68" s="12">
        <f t="shared" si="23"/>
        <v>1313.5000000000002</v>
      </c>
      <c r="J68" s="13">
        <f t="shared" si="14"/>
        <v>62346.857610708612</v>
      </c>
      <c r="K68" s="12">
        <f t="shared" si="15"/>
        <v>8350.7421088160863</v>
      </c>
      <c r="L68" s="8">
        <f t="shared" si="16"/>
        <v>38807.795097536757</v>
      </c>
      <c r="M68" s="14">
        <f t="shared" si="17"/>
        <v>0.36949154999940281</v>
      </c>
      <c r="N68" s="14">
        <f t="shared" si="18"/>
        <v>0.05</v>
      </c>
      <c r="O68" s="15">
        <f t="shared" si="19"/>
        <v>62502.724754735384</v>
      </c>
      <c r="P68" s="8">
        <f t="shared" si="20"/>
        <v>155.86714402677171</v>
      </c>
      <c r="Q68" s="16">
        <f t="shared" si="21"/>
        <v>60476.451882387351</v>
      </c>
    </row>
    <row r="69" spans="2:17" ht="17.100000000000001" customHeight="1" x14ac:dyDescent="0.3">
      <c r="B69" s="7" t="s">
        <v>51</v>
      </c>
      <c r="C69" s="7" t="s">
        <v>40</v>
      </c>
      <c r="D69" s="8">
        <f>$C$11-2500</f>
        <v>61500</v>
      </c>
      <c r="E69" s="9">
        <v>110</v>
      </c>
      <c r="F69" s="10">
        <f t="shared" si="12"/>
        <v>2.0878048780487806E-2</v>
      </c>
      <c r="G69" s="11">
        <f t="shared" si="13"/>
        <v>64.2</v>
      </c>
      <c r="H69" s="10">
        <f t="shared" si="22"/>
        <v>0.44223047946799537</v>
      </c>
      <c r="I69" s="12">
        <f t="shared" si="23"/>
        <v>1377.7000000000003</v>
      </c>
      <c r="J69" s="13">
        <f t="shared" si="14"/>
        <v>62306.876796795084</v>
      </c>
      <c r="K69" s="12">
        <f t="shared" si="15"/>
        <v>8265.4744872817082</v>
      </c>
      <c r="L69" s="8">
        <f t="shared" si="16"/>
        <v>39893.702208178918</v>
      </c>
      <c r="M69" s="14">
        <f t="shared" si="17"/>
        <v>0.35132191531416396</v>
      </c>
      <c r="N69" s="14">
        <f t="shared" si="18"/>
        <v>0.05</v>
      </c>
      <c r="O69" s="15">
        <f t="shared" si="19"/>
        <v>62462.643988787066</v>
      </c>
      <c r="P69" s="8">
        <f t="shared" si="20"/>
        <v>155.76719199198124</v>
      </c>
      <c r="Q69" s="16">
        <f t="shared" si="21"/>
        <v>60437.67049289123</v>
      </c>
    </row>
    <row r="70" spans="2:17" ht="17.100000000000001" customHeight="1" x14ac:dyDescent="0.3">
      <c r="B70" s="7" t="s">
        <v>51</v>
      </c>
      <c r="C70" s="7" t="s">
        <v>41</v>
      </c>
      <c r="D70" s="8">
        <f>$C$11-2550</f>
        <v>61450</v>
      </c>
      <c r="E70" s="9">
        <v>114</v>
      </c>
      <c r="F70" s="10">
        <f t="shared" si="12"/>
        <v>2.1643612693246543E-2</v>
      </c>
      <c r="G70" s="11">
        <f t="shared" si="13"/>
        <v>66.5</v>
      </c>
      <c r="H70" s="10">
        <f t="shared" si="22"/>
        <v>0.46387409216124192</v>
      </c>
      <c r="I70" s="12">
        <f t="shared" si="23"/>
        <v>1444.2000000000003</v>
      </c>
      <c r="J70" s="13">
        <f t="shared" si="14"/>
        <v>62266.89631539063</v>
      </c>
      <c r="K70" s="12">
        <f t="shared" si="15"/>
        <v>8176.8629633083074</v>
      </c>
      <c r="L70" s="8">
        <f t="shared" si="16"/>
        <v>40913.891922562434</v>
      </c>
      <c r="M70" s="14">
        <f t="shared" si="17"/>
        <v>0.33419215748474479</v>
      </c>
      <c r="N70" s="14">
        <f t="shared" si="18"/>
        <v>0.05</v>
      </c>
      <c r="O70" s="15">
        <f t="shared" si="19"/>
        <v>62422.563556179106</v>
      </c>
      <c r="P70" s="8">
        <f t="shared" si="20"/>
        <v>155.66724078847619</v>
      </c>
      <c r="Q70" s="16">
        <f t="shared" si="21"/>
        <v>60398.889425928908</v>
      </c>
    </row>
    <row r="71" spans="2:17" ht="17.100000000000001" customHeight="1" x14ac:dyDescent="0.3">
      <c r="B71" s="7" t="s">
        <v>51</v>
      </c>
      <c r="C71" s="7" t="s">
        <v>42</v>
      </c>
      <c r="D71" s="8">
        <f>$C$11-2600</f>
        <v>61400</v>
      </c>
      <c r="E71" s="9">
        <v>118</v>
      </c>
      <c r="F71" s="10">
        <f t="shared" si="12"/>
        <v>2.2442996742671011E-2</v>
      </c>
      <c r="G71" s="11">
        <f t="shared" si="13"/>
        <v>68.900000000000006</v>
      </c>
      <c r="H71" s="10">
        <f t="shared" si="22"/>
        <v>0.48631708890391295</v>
      </c>
      <c r="I71" s="12">
        <f t="shared" si="23"/>
        <v>1513.1000000000004</v>
      </c>
      <c r="J71" s="13">
        <f t="shared" si="14"/>
        <v>62226.890007517723</v>
      </c>
      <c r="K71" s="12">
        <f t="shared" si="15"/>
        <v>8084.7692587002457</v>
      </c>
      <c r="L71" s="8">
        <f t="shared" si="16"/>
        <v>41873.542098581071</v>
      </c>
      <c r="M71" s="14">
        <f t="shared" si="17"/>
        <v>0.31802048699379365</v>
      </c>
      <c r="N71" s="14">
        <f t="shared" si="18"/>
        <v>0.05</v>
      </c>
      <c r="O71" s="15">
        <f t="shared" si="19"/>
        <v>62382.457232536515</v>
      </c>
      <c r="P71" s="8">
        <f t="shared" si="20"/>
        <v>155.56722501879267</v>
      </c>
      <c r="Q71" s="16">
        <f t="shared" si="21"/>
        <v>60360.083307292189</v>
      </c>
    </row>
    <row r="72" spans="2:17" ht="17.100000000000001" customHeight="1" x14ac:dyDescent="0.3">
      <c r="B72" s="7" t="s">
        <v>51</v>
      </c>
      <c r="C72" s="7" t="s">
        <v>43</v>
      </c>
      <c r="D72" s="8">
        <f>$C$11-2650</f>
        <v>61350</v>
      </c>
      <c r="E72" s="9">
        <v>122</v>
      </c>
      <c r="F72" s="10">
        <f t="shared" si="12"/>
        <v>2.3211083944580276E-2</v>
      </c>
      <c r="G72" s="11">
        <f t="shared" si="13"/>
        <v>71.2</v>
      </c>
      <c r="H72" s="10">
        <f t="shared" si="22"/>
        <v>0.50952817284849328</v>
      </c>
      <c r="I72" s="12">
        <f t="shared" si="23"/>
        <v>1584.3000000000004</v>
      </c>
      <c r="J72" s="13">
        <f t="shared" si="14"/>
        <v>62186.944095477418</v>
      </c>
      <c r="K72" s="12">
        <f t="shared" si="15"/>
        <v>7989.2534042550551</v>
      </c>
      <c r="L72" s="8">
        <f t="shared" si="16"/>
        <v>42774.818029252601</v>
      </c>
      <c r="M72" s="14">
        <f t="shared" si="17"/>
        <v>0.30277395225342135</v>
      </c>
      <c r="N72" s="14">
        <f t="shared" si="18"/>
        <v>0.05</v>
      </c>
      <c r="O72" s="15">
        <f t="shared" si="19"/>
        <v>62342.411455716108</v>
      </c>
      <c r="P72" s="8">
        <f t="shared" si="20"/>
        <v>155.46736023869016</v>
      </c>
      <c r="Q72" s="16">
        <f t="shared" si="21"/>
        <v>60321.335772613093</v>
      </c>
    </row>
    <row r="73" spans="2:17" ht="17.100000000000001" customHeight="1" x14ac:dyDescent="0.3">
      <c r="B73" s="7" t="s">
        <v>51</v>
      </c>
      <c r="C73" s="7" t="s">
        <v>44</v>
      </c>
      <c r="D73" s="8">
        <f>$C$11-2700</f>
        <v>61300</v>
      </c>
      <c r="E73" s="9">
        <v>126</v>
      </c>
      <c r="F73" s="10">
        <f t="shared" si="12"/>
        <v>2.401305057096248E-2</v>
      </c>
      <c r="G73" s="11">
        <f t="shared" si="13"/>
        <v>73.599999999999994</v>
      </c>
      <c r="H73" s="10">
        <f t="shared" si="22"/>
        <v>0.53354122341945576</v>
      </c>
      <c r="I73" s="12">
        <f t="shared" si="23"/>
        <v>1657.9000000000003</v>
      </c>
      <c r="J73" s="13">
        <f t="shared" si="14"/>
        <v>62147.025467856081</v>
      </c>
      <c r="K73" s="12">
        <f t="shared" si="15"/>
        <v>7890.17699561263</v>
      </c>
      <c r="L73" s="8">
        <f t="shared" si="16"/>
        <v>43622.443473311163</v>
      </c>
      <c r="M73" s="14">
        <f t="shared" si="17"/>
        <v>0.28837775736849652</v>
      </c>
      <c r="N73" s="14">
        <f t="shared" si="18"/>
        <v>0.05</v>
      </c>
      <c r="O73" s="15">
        <f t="shared" si="19"/>
        <v>62302.393031525717</v>
      </c>
      <c r="P73" s="8">
        <f t="shared" si="20"/>
        <v>155.36756366963527</v>
      </c>
      <c r="Q73" s="16">
        <f t="shared" si="21"/>
        <v>60282.6147038204</v>
      </c>
    </row>
    <row r="74" spans="2:17" ht="17.100000000000001" customHeight="1" x14ac:dyDescent="0.3">
      <c r="B74" s="7" t="s">
        <v>51</v>
      </c>
      <c r="C74" s="7" t="s">
        <v>45</v>
      </c>
      <c r="D74" s="8">
        <f>$C$11-2750</f>
        <v>61250</v>
      </c>
      <c r="E74" s="9">
        <v>130</v>
      </c>
      <c r="F74" s="10">
        <f t="shared" si="12"/>
        <v>2.4783673469387753E-2</v>
      </c>
      <c r="G74" s="11">
        <f t="shared" si="13"/>
        <v>75.900000000000006</v>
      </c>
      <c r="H74" s="10">
        <f t="shared" si="22"/>
        <v>0.55832489688884346</v>
      </c>
      <c r="I74" s="12">
        <f t="shared" si="23"/>
        <v>1733.8000000000004</v>
      </c>
      <c r="J74" s="13">
        <f t="shared" si="14"/>
        <v>62107.207099710671</v>
      </c>
      <c r="K74" s="12">
        <f t="shared" si="15"/>
        <v>7787.5999344416541</v>
      </c>
      <c r="L74" s="8">
        <f t="shared" si="16"/>
        <v>44418.5816147429</v>
      </c>
      <c r="M74" s="14">
        <f t="shared" si="17"/>
        <v>0.27479866751440163</v>
      </c>
      <c r="N74" s="14">
        <f t="shared" si="18"/>
        <v>0.05</v>
      </c>
      <c r="O74" s="15">
        <f t="shared" si="19"/>
        <v>62262.475117459944</v>
      </c>
      <c r="P74" s="8">
        <f t="shared" si="20"/>
        <v>155.26801774927299</v>
      </c>
      <c r="Q74" s="16">
        <f t="shared" si="21"/>
        <v>60243.990886719352</v>
      </c>
    </row>
    <row r="75" spans="2:17" ht="17.100000000000001" customHeight="1" x14ac:dyDescent="0.3">
      <c r="B75" s="7" t="s">
        <v>51</v>
      </c>
      <c r="C75" s="7" t="s">
        <v>46</v>
      </c>
      <c r="D75" s="8">
        <f>$C$11-2800</f>
        <v>61200</v>
      </c>
      <c r="E75" s="9">
        <v>134</v>
      </c>
      <c r="F75" s="10">
        <f t="shared" si="12"/>
        <v>2.5555555555555557E-2</v>
      </c>
      <c r="G75" s="11">
        <f t="shared" si="13"/>
        <v>78.2</v>
      </c>
      <c r="H75" s="10">
        <f t="shared" si="22"/>
        <v>0.58388045244439901</v>
      </c>
      <c r="I75" s="12">
        <f t="shared" si="23"/>
        <v>1812.0000000000005</v>
      </c>
      <c r="J75" s="13">
        <f t="shared" si="14"/>
        <v>62067.500030669413</v>
      </c>
      <c r="K75" s="12">
        <f t="shared" si="15"/>
        <v>7681.483689597213</v>
      </c>
      <c r="L75" s="8">
        <f t="shared" si="16"/>
        <v>45166.539119570414</v>
      </c>
      <c r="M75" s="14">
        <f t="shared" si="17"/>
        <v>0.26198465490898015</v>
      </c>
      <c r="N75" s="14">
        <f t="shared" si="18"/>
        <v>0.05</v>
      </c>
      <c r="O75" s="15">
        <f t="shared" si="19"/>
        <v>62222.668780746084</v>
      </c>
      <c r="P75" s="8">
        <f t="shared" si="20"/>
        <v>155.16875007667113</v>
      </c>
      <c r="Q75" s="16">
        <f t="shared" si="21"/>
        <v>60205.47502974933</v>
      </c>
    </row>
    <row r="76" spans="2:17" ht="17.100000000000001" customHeight="1" x14ac:dyDescent="0.3">
      <c r="B76" s="7" t="s">
        <v>51</v>
      </c>
      <c r="C76" s="7" t="s">
        <v>47</v>
      </c>
      <c r="D76" s="8">
        <f>$C$11-2850</f>
        <v>61150</v>
      </c>
      <c r="E76" s="9">
        <v>138</v>
      </c>
      <c r="F76" s="10">
        <f t="shared" si="12"/>
        <v>2.6361406377759609E-2</v>
      </c>
      <c r="G76" s="11">
        <f t="shared" si="13"/>
        <v>80.599999999999994</v>
      </c>
      <c r="H76" s="10">
        <f t="shared" si="22"/>
        <v>0.61024185882215864</v>
      </c>
      <c r="I76" s="12">
        <f t="shared" si="23"/>
        <v>1892.6000000000004</v>
      </c>
      <c r="J76" s="13">
        <f t="shared" si="14"/>
        <v>62027.865595878648</v>
      </c>
      <c r="K76" s="12">
        <f t="shared" si="15"/>
        <v>7571.6896669749922</v>
      </c>
      <c r="L76" s="8">
        <f t="shared" si="16"/>
        <v>45870.271588748248</v>
      </c>
      <c r="M76" s="14">
        <f t="shared" si="17"/>
        <v>0.24987290942357729</v>
      </c>
      <c r="N76" s="14">
        <f t="shared" si="18"/>
        <v>0.05</v>
      </c>
      <c r="O76" s="15">
        <f t="shared" si="19"/>
        <v>62182.93525986834</v>
      </c>
      <c r="P76" s="8">
        <f t="shared" si="20"/>
        <v>155.06966398969234</v>
      </c>
      <c r="Q76" s="16">
        <f t="shared" si="21"/>
        <v>60167.029628002289</v>
      </c>
    </row>
    <row r="77" spans="2:17" ht="17.100000000000001" customHeight="1" x14ac:dyDescent="0.3">
      <c r="B77" s="7" t="s">
        <v>51</v>
      </c>
      <c r="C77" s="7" t="s">
        <v>48</v>
      </c>
      <c r="D77" s="8">
        <f>$C$11-2900</f>
        <v>61100</v>
      </c>
      <c r="E77" s="9">
        <v>142</v>
      </c>
      <c r="F77" s="10">
        <f t="shared" si="12"/>
        <v>2.7135842880523731E-2</v>
      </c>
      <c r="G77" s="11">
        <f t="shared" si="13"/>
        <v>82.9</v>
      </c>
      <c r="H77" s="10">
        <f t="shared" si="22"/>
        <v>0.63737770170268238</v>
      </c>
      <c r="I77" s="12">
        <f t="shared" si="23"/>
        <v>1975.5000000000005</v>
      </c>
      <c r="J77" s="13">
        <f t="shared" si="14"/>
        <v>61988.362464600687</v>
      </c>
      <c r="K77" s="12">
        <f t="shared" si="15"/>
        <v>7458.2775740338839</v>
      </c>
      <c r="L77" s="8">
        <f t="shared" si="16"/>
        <v>46531.736799165825</v>
      </c>
      <c r="M77" s="14">
        <f t="shared" si="17"/>
        <v>0.23843311294327618</v>
      </c>
      <c r="N77" s="14">
        <f t="shared" si="18"/>
        <v>0.05</v>
      </c>
      <c r="O77" s="15">
        <f t="shared" si="19"/>
        <v>62143.333370762186</v>
      </c>
      <c r="P77" s="8">
        <f t="shared" si="20"/>
        <v>154.97090616149944</v>
      </c>
      <c r="Q77" s="16">
        <f t="shared" si="21"/>
        <v>60128.711590662664</v>
      </c>
    </row>
    <row r="78" spans="2:17" ht="17.100000000000001" customHeight="1" x14ac:dyDescent="0.3">
      <c r="B78" s="7" t="s">
        <v>51</v>
      </c>
      <c r="C78" s="7" t="s">
        <v>49</v>
      </c>
      <c r="D78" s="8">
        <f>$C$11-2950</f>
        <v>61050</v>
      </c>
      <c r="E78" s="9">
        <v>146</v>
      </c>
      <c r="F78" s="10">
        <f t="shared" si="12"/>
        <v>2.7911547911547912E-2</v>
      </c>
      <c r="G78" s="11">
        <f t="shared" si="13"/>
        <v>85.2</v>
      </c>
      <c r="H78" s="10">
        <f t="shared" si="22"/>
        <v>0.6652892496142303</v>
      </c>
      <c r="I78" s="12">
        <f t="shared" si="23"/>
        <v>2060.7000000000003</v>
      </c>
      <c r="J78" s="13">
        <f t="shared" si="14"/>
        <v>61948.994401905715</v>
      </c>
      <c r="K78" s="12">
        <f t="shared" si="15"/>
        <v>7341.2086889487528</v>
      </c>
      <c r="L78" s="8">
        <f t="shared" si="16"/>
        <v>47153.706886962718</v>
      </c>
      <c r="M78" s="14">
        <f t="shared" si="17"/>
        <v>0.22762150881305948</v>
      </c>
      <c r="N78" s="14">
        <f t="shared" si="18"/>
        <v>0.05</v>
      </c>
      <c r="O78" s="15">
        <f t="shared" si="19"/>
        <v>62103.866887910473</v>
      </c>
      <c r="P78" s="8">
        <f t="shared" si="20"/>
        <v>154.87248600475868</v>
      </c>
      <c r="Q78" s="16">
        <f t="shared" si="21"/>
        <v>60090.524569848545</v>
      </c>
    </row>
    <row r="79" spans="2:17" ht="17.100000000000001" customHeight="1" x14ac:dyDescent="0.3">
      <c r="B79" s="7" t="s">
        <v>52</v>
      </c>
      <c r="C79" s="7" t="s">
        <v>30</v>
      </c>
      <c r="D79" s="8">
        <f>$C$11-3000</f>
        <v>61000</v>
      </c>
      <c r="E79" s="9">
        <v>148</v>
      </c>
      <c r="F79" s="10">
        <f t="shared" si="12"/>
        <v>2.8327868852459016E-2</v>
      </c>
      <c r="G79" s="11">
        <f t="shared" si="13"/>
        <v>86.4</v>
      </c>
      <c r="H79" s="10">
        <f t="shared" si="22"/>
        <v>0.69361711846668928</v>
      </c>
      <c r="I79" s="12">
        <f t="shared" si="23"/>
        <v>2147.1000000000004</v>
      </c>
      <c r="J79" s="13">
        <f t="shared" si="14"/>
        <v>61910.236723868118</v>
      </c>
      <c r="K79" s="12">
        <f t="shared" si="15"/>
        <v>7221.544226468036</v>
      </c>
      <c r="L79" s="8">
        <f t="shared" si="16"/>
        <v>47731.719427037468</v>
      </c>
      <c r="M79" s="14">
        <f t="shared" si="17"/>
        <v>0.21751279627807429</v>
      </c>
      <c r="N79" s="14">
        <f t="shared" si="18"/>
        <v>0.05</v>
      </c>
      <c r="O79" s="15">
        <f t="shared" si="19"/>
        <v>62065.012315677784</v>
      </c>
      <c r="P79" s="8">
        <f t="shared" si="20"/>
        <v>154.77559180966637</v>
      </c>
      <c r="Q79" s="16">
        <f t="shared" si="21"/>
        <v>60052.929622152071</v>
      </c>
    </row>
    <row r="80" spans="2:17" ht="17.100000000000001" customHeight="1" x14ac:dyDescent="0.3">
      <c r="B80" s="7" t="s">
        <v>52</v>
      </c>
      <c r="C80" s="7" t="s">
        <v>31</v>
      </c>
      <c r="D80" s="8">
        <f>$C$11-3050</f>
        <v>60950</v>
      </c>
      <c r="E80" s="9">
        <v>156</v>
      </c>
      <c r="F80" s="10">
        <f t="shared" si="12"/>
        <v>2.9893355209187858E-2</v>
      </c>
      <c r="G80" s="11">
        <f t="shared" si="13"/>
        <v>91.1</v>
      </c>
      <c r="H80" s="10">
        <f t="shared" si="22"/>
        <v>0.72351047367587717</v>
      </c>
      <c r="I80" s="12">
        <f t="shared" si="23"/>
        <v>2238.2000000000003</v>
      </c>
      <c r="J80" s="13">
        <f t="shared" si="14"/>
        <v>61870.562526305141</v>
      </c>
      <c r="K80" s="12">
        <f t="shared" si="15"/>
        <v>7095.7633705447051</v>
      </c>
      <c r="L80" s="8">
        <f t="shared" si="16"/>
        <v>48290.515118359916</v>
      </c>
      <c r="M80" s="14">
        <f t="shared" si="17"/>
        <v>0.20770278722953378</v>
      </c>
      <c r="N80" s="14">
        <f t="shared" si="18"/>
        <v>0.05</v>
      </c>
      <c r="O80" s="15">
        <f t="shared" si="19"/>
        <v>62025.238932620901</v>
      </c>
      <c r="P80" s="8">
        <f t="shared" si="20"/>
        <v>154.67640631576069</v>
      </c>
      <c r="Q80" s="16">
        <f t="shared" si="21"/>
        <v>60014.445650515983</v>
      </c>
    </row>
    <row r="81" spans="2:17" ht="17.100000000000001" customHeight="1" x14ac:dyDescent="0.3">
      <c r="B81" s="7" t="s">
        <v>52</v>
      </c>
      <c r="C81" s="7" t="s">
        <v>32</v>
      </c>
      <c r="D81" s="8">
        <f>$C$11-3100</f>
        <v>60900</v>
      </c>
      <c r="E81" s="9">
        <v>164</v>
      </c>
      <c r="F81" s="10">
        <f t="shared" si="12"/>
        <v>3.1428571428571431E-2</v>
      </c>
      <c r="G81" s="11">
        <f t="shared" si="13"/>
        <v>95.7</v>
      </c>
      <c r="H81" s="10">
        <f t="shared" si="22"/>
        <v>0.75493904510444865</v>
      </c>
      <c r="I81" s="12">
        <f t="shared" si="23"/>
        <v>2333.9</v>
      </c>
      <c r="J81" s="13">
        <f t="shared" si="14"/>
        <v>61830.157418261399</v>
      </c>
      <c r="K81" s="12">
        <f t="shared" si="15"/>
        <v>6963.8878468609209</v>
      </c>
      <c r="L81" s="8">
        <f t="shared" si="16"/>
        <v>48828.195861414089</v>
      </c>
      <c r="M81" s="14">
        <f t="shared" si="17"/>
        <v>0.19822338487004779</v>
      </c>
      <c r="N81" s="14">
        <f t="shared" si="18"/>
        <v>0.05</v>
      </c>
      <c r="O81" s="15">
        <f t="shared" si="19"/>
        <v>61984.732811807051</v>
      </c>
      <c r="P81" s="8">
        <f t="shared" si="20"/>
        <v>154.57539354565233</v>
      </c>
      <c r="Q81" s="16">
        <f t="shared" si="21"/>
        <v>59975.252695713556</v>
      </c>
    </row>
    <row r="82" spans="2:17" ht="17.100000000000001" customHeight="1" x14ac:dyDescent="0.3">
      <c r="B82" s="7" t="s">
        <v>52</v>
      </c>
      <c r="C82" s="7" t="s">
        <v>33</v>
      </c>
      <c r="D82" s="8">
        <f>$C$11-3150</f>
        <v>60850</v>
      </c>
      <c r="E82" s="9">
        <v>172</v>
      </c>
      <c r="F82" s="10">
        <f t="shared" si="12"/>
        <v>3.2999178307313068E-2</v>
      </c>
      <c r="G82" s="11">
        <f t="shared" si="13"/>
        <v>100.4</v>
      </c>
      <c r="H82" s="10">
        <f t="shared" si="22"/>
        <v>0.78793822341176167</v>
      </c>
      <c r="I82" s="12">
        <f t="shared" si="23"/>
        <v>2434.3000000000002</v>
      </c>
      <c r="J82" s="13">
        <f t="shared" si="14"/>
        <v>61789.108020664731</v>
      </c>
      <c r="K82" s="12">
        <f t="shared" si="15"/>
        <v>6825.7408946056958</v>
      </c>
      <c r="L82" s="8">
        <f t="shared" si="16"/>
        <v>49344.480131575096</v>
      </c>
      <c r="M82" s="14">
        <f t="shared" si="17"/>
        <v>0.18908003070542159</v>
      </c>
      <c r="N82" s="14">
        <f t="shared" si="18"/>
        <v>0.05</v>
      </c>
      <c r="O82" s="15">
        <f t="shared" si="19"/>
        <v>61943.580790716391</v>
      </c>
      <c r="P82" s="8">
        <f t="shared" si="20"/>
        <v>154.47277005165961</v>
      </c>
      <c r="Q82" s="16">
        <f t="shared" si="21"/>
        <v>59935.434780044787</v>
      </c>
    </row>
    <row r="83" spans="2:17" ht="17.100000000000001" customHeight="1" x14ac:dyDescent="0.3">
      <c r="B83" s="7" t="s">
        <v>52</v>
      </c>
      <c r="C83" s="7" t="s">
        <v>34</v>
      </c>
      <c r="D83" s="8">
        <f>$C$11-3200</f>
        <v>60800</v>
      </c>
      <c r="E83" s="9">
        <v>180</v>
      </c>
      <c r="F83" s="10">
        <f t="shared" ref="F83:F114" si="24">(G83*$C$13)/D83</f>
        <v>3.4572368421052629E-2</v>
      </c>
      <c r="G83" s="11">
        <f t="shared" ref="G83:G118" si="25">ROUND($C$12*E83/SUM($E$19:$E$118), 1)</f>
        <v>105.1</v>
      </c>
      <c r="H83" s="10">
        <f t="shared" si="22"/>
        <v>0.82251059183281428</v>
      </c>
      <c r="I83" s="12">
        <f t="shared" si="23"/>
        <v>2539.4</v>
      </c>
      <c r="J83" s="13">
        <f t="shared" ref="J83:J114" si="26">I83*$C$13/H83</f>
        <v>61747.533106933297</v>
      </c>
      <c r="K83" s="12">
        <f t="shared" ref="K83:K114" si="27">$C$12-I83+H83*(D83-J83)</f>
        <v>6681.2439834351089</v>
      </c>
      <c r="L83" s="8">
        <f t="shared" ref="L83:L118" si="28">(J83*H83-$C$12)/(H83*(1-$C$14))</f>
        <v>49838.829105866331</v>
      </c>
      <c r="M83" s="14">
        <f t="shared" ref="M83:M114" si="29">(D83-L83)/D83</f>
        <v>0.18028241602193534</v>
      </c>
      <c r="N83" s="14">
        <f t="shared" ref="N83:N118" si="30">IF(OR(B83="1차",B83="2차"),0.1,IF(OR(B83="3차",B83="4차"),0.05,0.02))</f>
        <v>0.05</v>
      </c>
      <c r="O83" s="15">
        <f t="shared" ref="O83:O114" si="31">J83*(1+N83/$C$13)</f>
        <v>61901.901939700627</v>
      </c>
      <c r="P83" s="8">
        <f t="shared" ref="P83:P114" si="32">O83-J83</f>
        <v>154.36883276732988</v>
      </c>
      <c r="Q83" s="16">
        <f t="shared" ref="Q83:Q118" si="33">J83*(1-$C$15)</f>
        <v>59895.107113725295</v>
      </c>
    </row>
    <row r="84" spans="2:17" ht="17.100000000000001" customHeight="1" x14ac:dyDescent="0.3">
      <c r="B84" s="7" t="s">
        <v>52</v>
      </c>
      <c r="C84" s="7" t="s">
        <v>35</v>
      </c>
      <c r="D84" s="8">
        <f>$C$11-3250</f>
        <v>60750</v>
      </c>
      <c r="E84" s="9">
        <v>188</v>
      </c>
      <c r="F84" s="10">
        <f t="shared" si="24"/>
        <v>3.6115226337448562E-2</v>
      </c>
      <c r="G84" s="11">
        <f t="shared" si="25"/>
        <v>109.7</v>
      </c>
      <c r="H84" s="10">
        <f t="shared" ref="H84:H118" si="34">H83+F84</f>
        <v>0.85862581817026284</v>
      </c>
      <c r="I84" s="12">
        <f t="shared" ref="I84:I118" si="35">I83+G84</f>
        <v>2649.1</v>
      </c>
      <c r="J84" s="13">
        <f t="shared" si="26"/>
        <v>61705.575209588947</v>
      </c>
      <c r="K84" s="12">
        <f t="shared" si="27"/>
        <v>6530.4184538434693</v>
      </c>
      <c r="L84" s="8">
        <f t="shared" si="28"/>
        <v>50310.611485925197</v>
      </c>
      <c r="M84" s="14">
        <f t="shared" si="29"/>
        <v>0.17184178623991445</v>
      </c>
      <c r="N84" s="14">
        <f t="shared" si="30"/>
        <v>0.05</v>
      </c>
      <c r="O84" s="15">
        <f t="shared" si="31"/>
        <v>61859.839147612918</v>
      </c>
      <c r="P84" s="8">
        <f t="shared" si="32"/>
        <v>154.2639380239707</v>
      </c>
      <c r="Q84" s="16">
        <f t="shared" si="33"/>
        <v>59854.407953301277</v>
      </c>
    </row>
    <row r="85" spans="2:17" ht="17.100000000000001" customHeight="1" x14ac:dyDescent="0.3">
      <c r="B85" s="7" t="s">
        <v>52</v>
      </c>
      <c r="C85" s="7" t="s">
        <v>36</v>
      </c>
      <c r="D85" s="8">
        <f>$C$11-3300</f>
        <v>60700</v>
      </c>
      <c r="E85" s="9">
        <v>196</v>
      </c>
      <c r="F85" s="10">
        <f t="shared" si="24"/>
        <v>3.7693574958813841E-2</v>
      </c>
      <c r="G85" s="11">
        <f t="shared" si="25"/>
        <v>114.4</v>
      </c>
      <c r="H85" s="10">
        <f t="shared" si="34"/>
        <v>0.89631939312907671</v>
      </c>
      <c r="I85" s="12">
        <f t="shared" si="35"/>
        <v>2763.5</v>
      </c>
      <c r="J85" s="13">
        <f t="shared" si="26"/>
        <v>61663.287019876749</v>
      </c>
      <c r="K85" s="12">
        <f t="shared" si="27"/>
        <v>6373.0871629349558</v>
      </c>
      <c r="L85" s="8">
        <f t="shared" si="28"/>
        <v>50760.351484031715</v>
      </c>
      <c r="M85" s="14">
        <f t="shared" si="29"/>
        <v>0.16375038741298659</v>
      </c>
      <c r="N85" s="14">
        <f t="shared" si="30"/>
        <v>0.05</v>
      </c>
      <c r="O85" s="15">
        <f t="shared" si="31"/>
        <v>61817.445237426437</v>
      </c>
      <c r="P85" s="8">
        <f t="shared" si="32"/>
        <v>154.15821754968783</v>
      </c>
      <c r="Q85" s="16">
        <f t="shared" si="33"/>
        <v>59813.388409280444</v>
      </c>
    </row>
    <row r="86" spans="2:17" ht="17.100000000000001" customHeight="1" x14ac:dyDescent="0.3">
      <c r="B86" s="7" t="s">
        <v>52</v>
      </c>
      <c r="C86" s="7" t="s">
        <v>37</v>
      </c>
      <c r="D86" s="8">
        <f>$C$11-3350</f>
        <v>60650</v>
      </c>
      <c r="E86" s="9">
        <v>204</v>
      </c>
      <c r="F86" s="10">
        <f t="shared" si="24"/>
        <v>3.9274525968672709E-2</v>
      </c>
      <c r="G86" s="11">
        <f t="shared" si="25"/>
        <v>119.1</v>
      </c>
      <c r="H86" s="10">
        <f t="shared" si="34"/>
        <v>0.93559391909774947</v>
      </c>
      <c r="I86" s="12">
        <f t="shared" si="35"/>
        <v>2882.6</v>
      </c>
      <c r="J86" s="13">
        <f t="shared" si="26"/>
        <v>61620.751079268826</v>
      </c>
      <c r="K86" s="12">
        <f t="shared" si="27"/>
        <v>6209.1711932785083</v>
      </c>
      <c r="L86" s="8">
        <f t="shared" si="28"/>
        <v>51188.294738615688</v>
      </c>
      <c r="M86" s="14">
        <f t="shared" si="29"/>
        <v>0.15600503316379738</v>
      </c>
      <c r="N86" s="14">
        <f t="shared" si="30"/>
        <v>0.05</v>
      </c>
      <c r="O86" s="15">
        <f t="shared" si="31"/>
        <v>61774.802956966996</v>
      </c>
      <c r="P86" s="8">
        <f t="shared" si="32"/>
        <v>154.05187769816985</v>
      </c>
      <c r="Q86" s="16">
        <f t="shared" si="33"/>
        <v>59772.128546890759</v>
      </c>
    </row>
    <row r="87" spans="2:17" ht="17.100000000000001" customHeight="1" x14ac:dyDescent="0.3">
      <c r="B87" s="7" t="s">
        <v>52</v>
      </c>
      <c r="C87" s="7" t="s">
        <v>38</v>
      </c>
      <c r="D87" s="8">
        <f>$C$11-3400</f>
        <v>60600</v>
      </c>
      <c r="E87" s="9">
        <v>212</v>
      </c>
      <c r="F87" s="10">
        <f t="shared" si="24"/>
        <v>4.0858085808580857E-2</v>
      </c>
      <c r="G87" s="11">
        <f t="shared" si="25"/>
        <v>123.8</v>
      </c>
      <c r="H87" s="10">
        <f t="shared" si="34"/>
        <v>0.97645200490633033</v>
      </c>
      <c r="I87" s="12">
        <f t="shared" si="35"/>
        <v>3006.4</v>
      </c>
      <c r="J87" s="13">
        <f t="shared" si="26"/>
        <v>61578.039368937541</v>
      </c>
      <c r="K87" s="12">
        <f t="shared" si="27"/>
        <v>6038.5914973236158</v>
      </c>
      <c r="L87" s="8">
        <f t="shared" si="28"/>
        <v>51594.85488723054</v>
      </c>
      <c r="M87" s="14">
        <f t="shared" si="29"/>
        <v>0.14859975433612971</v>
      </c>
      <c r="N87" s="14">
        <f t="shared" si="30"/>
        <v>0.05</v>
      </c>
      <c r="O87" s="15">
        <f t="shared" si="31"/>
        <v>61731.984467359885</v>
      </c>
      <c r="P87" s="8">
        <f t="shared" si="32"/>
        <v>153.94509842234402</v>
      </c>
      <c r="Q87" s="16">
        <f t="shared" si="33"/>
        <v>59730.698187869413</v>
      </c>
    </row>
    <row r="88" spans="2:17" ht="17.100000000000001" customHeight="1" x14ac:dyDescent="0.3">
      <c r="B88" s="7" t="s">
        <v>52</v>
      </c>
      <c r="C88" s="7" t="s">
        <v>39</v>
      </c>
      <c r="D88" s="8">
        <f>$C$11-3450</f>
        <v>60550</v>
      </c>
      <c r="E88" s="9">
        <v>220</v>
      </c>
      <c r="F88" s="10">
        <f t="shared" si="24"/>
        <v>4.2411230388108997E-2</v>
      </c>
      <c r="G88" s="11">
        <f t="shared" si="25"/>
        <v>128.4</v>
      </c>
      <c r="H88" s="10">
        <f t="shared" si="34"/>
        <v>1.0188632352944393</v>
      </c>
      <c r="I88" s="12">
        <f t="shared" si="35"/>
        <v>3134.8</v>
      </c>
      <c r="J88" s="13">
        <f t="shared" si="26"/>
        <v>61535.246172546016</v>
      </c>
      <c r="K88" s="12">
        <f t="shared" si="27"/>
        <v>5861.3688970783023</v>
      </c>
      <c r="L88" s="8">
        <f t="shared" si="28"/>
        <v>51980.287623976801</v>
      </c>
      <c r="M88" s="14">
        <f t="shared" si="29"/>
        <v>0.14153117053712963</v>
      </c>
      <c r="N88" s="14">
        <f t="shared" si="30"/>
        <v>0.05</v>
      </c>
      <c r="O88" s="15">
        <f t="shared" si="31"/>
        <v>61689.084287977377</v>
      </c>
      <c r="P88" s="8">
        <f t="shared" si="32"/>
        <v>153.83811543136108</v>
      </c>
      <c r="Q88" s="16">
        <f t="shared" si="33"/>
        <v>59689.188787369632</v>
      </c>
    </row>
    <row r="89" spans="2:17" ht="17.100000000000001" customHeight="1" x14ac:dyDescent="0.3">
      <c r="B89" s="7" t="s">
        <v>52</v>
      </c>
      <c r="C89" s="7" t="s">
        <v>40</v>
      </c>
      <c r="D89" s="8">
        <f>$C$11-3500</f>
        <v>60500</v>
      </c>
      <c r="E89" s="9">
        <v>228</v>
      </c>
      <c r="F89" s="10">
        <f t="shared" si="24"/>
        <v>4.3999999999999997E-2</v>
      </c>
      <c r="G89" s="11">
        <f t="shared" si="25"/>
        <v>133.1</v>
      </c>
      <c r="H89" s="10">
        <f t="shared" si="34"/>
        <v>1.0628632352944394</v>
      </c>
      <c r="I89" s="12">
        <f t="shared" si="35"/>
        <v>3267.9</v>
      </c>
      <c r="J89" s="13">
        <f t="shared" si="26"/>
        <v>61492.389452998832</v>
      </c>
      <c r="K89" s="12">
        <f t="shared" si="27"/>
        <v>5677.3257353135832</v>
      </c>
      <c r="L89" s="8">
        <f t="shared" si="28"/>
        <v>52345.569078894725</v>
      </c>
      <c r="M89" s="14">
        <f t="shared" si="29"/>
        <v>0.13478398216702933</v>
      </c>
      <c r="N89" s="14">
        <f t="shared" si="30"/>
        <v>0.05</v>
      </c>
      <c r="O89" s="15">
        <f t="shared" si="31"/>
        <v>61646.120426631329</v>
      </c>
      <c r="P89" s="8">
        <f t="shared" si="32"/>
        <v>153.7309736324969</v>
      </c>
      <c r="Q89" s="16">
        <f t="shared" si="33"/>
        <v>59647.617769408862</v>
      </c>
    </row>
    <row r="90" spans="2:17" ht="17.100000000000001" customHeight="1" x14ac:dyDescent="0.3">
      <c r="B90" s="7" t="s">
        <v>52</v>
      </c>
      <c r="C90" s="7" t="s">
        <v>41</v>
      </c>
      <c r="D90" s="8">
        <f>$C$11-3550</f>
        <v>60450</v>
      </c>
      <c r="E90" s="9">
        <v>236</v>
      </c>
      <c r="F90" s="10">
        <f t="shared" si="24"/>
        <v>4.5591397849462367E-2</v>
      </c>
      <c r="G90" s="11">
        <f t="shared" si="25"/>
        <v>137.80000000000001</v>
      </c>
      <c r="H90" s="10">
        <f t="shared" si="34"/>
        <v>1.1084546331439018</v>
      </c>
      <c r="I90" s="12">
        <f t="shared" si="35"/>
        <v>3405.7000000000003</v>
      </c>
      <c r="J90" s="13">
        <f t="shared" si="26"/>
        <v>61449.515355273274</v>
      </c>
      <c r="K90" s="12">
        <f t="shared" si="27"/>
        <v>5486.3825735488663</v>
      </c>
      <c r="L90" s="8">
        <f t="shared" si="28"/>
        <v>52691.403332491085</v>
      </c>
      <c r="M90" s="14">
        <f t="shared" si="29"/>
        <v>0.12834733941288529</v>
      </c>
      <c r="N90" s="14">
        <f t="shared" si="30"/>
        <v>0.05</v>
      </c>
      <c r="O90" s="15">
        <f t="shared" si="31"/>
        <v>61603.13914366145</v>
      </c>
      <c r="P90" s="8">
        <f t="shared" si="32"/>
        <v>153.62378838817676</v>
      </c>
      <c r="Q90" s="16">
        <f t="shared" si="33"/>
        <v>59606.029894615072</v>
      </c>
    </row>
    <row r="91" spans="2:17" ht="17.100000000000001" customHeight="1" x14ac:dyDescent="0.3">
      <c r="B91" s="7" t="s">
        <v>52</v>
      </c>
      <c r="C91" s="7" t="s">
        <v>42</v>
      </c>
      <c r="D91" s="8">
        <f>$C$11-3600</f>
        <v>60400</v>
      </c>
      <c r="E91" s="9">
        <v>244</v>
      </c>
      <c r="F91" s="10">
        <f t="shared" si="24"/>
        <v>4.71523178807947E-2</v>
      </c>
      <c r="G91" s="11">
        <f t="shared" si="25"/>
        <v>142.4</v>
      </c>
      <c r="H91" s="10">
        <f t="shared" si="34"/>
        <v>1.1556069510246965</v>
      </c>
      <c r="I91" s="12">
        <f t="shared" si="35"/>
        <v>3548.1000000000004</v>
      </c>
      <c r="J91" s="13">
        <f t="shared" si="26"/>
        <v>61406.691900803104</v>
      </c>
      <c r="K91" s="12">
        <f t="shared" si="27"/>
        <v>5288.5598418916688</v>
      </c>
      <c r="L91" s="8">
        <f t="shared" si="28"/>
        <v>53018.322236825443</v>
      </c>
      <c r="M91" s="14">
        <f t="shared" si="29"/>
        <v>0.12221320799957876</v>
      </c>
      <c r="N91" s="14">
        <f t="shared" si="30"/>
        <v>0.05</v>
      </c>
      <c r="O91" s="15">
        <f t="shared" si="31"/>
        <v>61560.208630555106</v>
      </c>
      <c r="P91" s="8">
        <f t="shared" si="32"/>
        <v>153.51672975200199</v>
      </c>
      <c r="Q91" s="16">
        <f t="shared" si="33"/>
        <v>59564.491143779007</v>
      </c>
    </row>
    <row r="92" spans="2:17" ht="17.100000000000001" customHeight="1" x14ac:dyDescent="0.3">
      <c r="B92" s="7" t="s">
        <v>52</v>
      </c>
      <c r="C92" s="7" t="s">
        <v>43</v>
      </c>
      <c r="D92" s="8">
        <f>$C$11-3650</f>
        <v>60350</v>
      </c>
      <c r="E92" s="9">
        <v>252</v>
      </c>
      <c r="F92" s="10">
        <f t="shared" si="24"/>
        <v>4.8748964374482187E-2</v>
      </c>
      <c r="G92" s="11">
        <f t="shared" si="25"/>
        <v>147.1</v>
      </c>
      <c r="H92" s="10">
        <f t="shared" si="34"/>
        <v>1.2043559153991787</v>
      </c>
      <c r="I92" s="12">
        <f t="shared" si="35"/>
        <v>3695.2000000000003</v>
      </c>
      <c r="J92" s="13">
        <f t="shared" si="26"/>
        <v>61363.919963397886</v>
      </c>
      <c r="K92" s="12">
        <f t="shared" si="27"/>
        <v>5083.6794943404366</v>
      </c>
      <c r="L92" s="8">
        <f t="shared" si="28"/>
        <v>53327.363453729173</v>
      </c>
      <c r="M92" s="14">
        <f t="shared" si="29"/>
        <v>0.11636514575428049</v>
      </c>
      <c r="N92" s="14">
        <f t="shared" si="30"/>
        <v>0.05</v>
      </c>
      <c r="O92" s="15">
        <f t="shared" si="31"/>
        <v>61517.329763306378</v>
      </c>
      <c r="P92" s="8">
        <f t="shared" si="32"/>
        <v>153.40979990849155</v>
      </c>
      <c r="Q92" s="16">
        <f t="shared" si="33"/>
        <v>59523.002364495951</v>
      </c>
    </row>
    <row r="93" spans="2:17" ht="17.100000000000001" customHeight="1" x14ac:dyDescent="0.3">
      <c r="B93" s="7" t="s">
        <v>52</v>
      </c>
      <c r="C93" s="7" t="s">
        <v>44</v>
      </c>
      <c r="D93" s="8">
        <f>$C$11-3700</f>
        <v>60300</v>
      </c>
      <c r="E93" s="9">
        <v>260</v>
      </c>
      <c r="F93" s="10">
        <f t="shared" si="24"/>
        <v>5.0348258706467662E-2</v>
      </c>
      <c r="G93" s="11">
        <f t="shared" si="25"/>
        <v>151.80000000000001</v>
      </c>
      <c r="H93" s="10">
        <f t="shared" si="34"/>
        <v>1.2547041741056464</v>
      </c>
      <c r="I93" s="12">
        <f t="shared" si="35"/>
        <v>3847.0000000000005</v>
      </c>
      <c r="J93" s="13">
        <f t="shared" si="26"/>
        <v>61321.227415890979</v>
      </c>
      <c r="K93" s="12">
        <f t="shared" si="27"/>
        <v>4871.6616985704659</v>
      </c>
      <c r="L93" s="8">
        <f t="shared" si="28"/>
        <v>53619.317842392913</v>
      </c>
      <c r="M93" s="14">
        <f t="shared" si="29"/>
        <v>0.11079074888237292</v>
      </c>
      <c r="N93" s="14">
        <f t="shared" si="30"/>
        <v>0.05</v>
      </c>
      <c r="O93" s="15">
        <f t="shared" si="31"/>
        <v>61474.530484430703</v>
      </c>
      <c r="P93" s="8">
        <f t="shared" si="32"/>
        <v>153.30306853972434</v>
      </c>
      <c r="Q93" s="16">
        <f t="shared" si="33"/>
        <v>59481.59059341425</v>
      </c>
    </row>
    <row r="94" spans="2:17" ht="17.100000000000001" customHeight="1" x14ac:dyDescent="0.3">
      <c r="B94" s="7" t="s">
        <v>52</v>
      </c>
      <c r="C94" s="7" t="s">
        <v>45</v>
      </c>
      <c r="D94" s="8">
        <f>$C$11-3750</f>
        <v>60250</v>
      </c>
      <c r="E94" s="9">
        <v>268</v>
      </c>
      <c r="F94" s="10">
        <f t="shared" si="24"/>
        <v>5.1950207468879669E-2</v>
      </c>
      <c r="G94" s="11">
        <f t="shared" si="25"/>
        <v>156.5</v>
      </c>
      <c r="H94" s="10">
        <f t="shared" si="34"/>
        <v>1.306654381574526</v>
      </c>
      <c r="I94" s="12">
        <f t="shared" si="35"/>
        <v>4003.5000000000005</v>
      </c>
      <c r="J94" s="13">
        <f t="shared" si="26"/>
        <v>61278.637357428219</v>
      </c>
      <c r="K94" s="12">
        <f t="shared" si="27"/>
        <v>4652.4264898651763</v>
      </c>
      <c r="L94" s="8">
        <f t="shared" si="28"/>
        <v>53894.979074653842</v>
      </c>
      <c r="M94" s="14">
        <f t="shared" si="29"/>
        <v>0.10547752573188644</v>
      </c>
      <c r="N94" s="14">
        <f t="shared" si="30"/>
        <v>0.05</v>
      </c>
      <c r="O94" s="15">
        <f t="shared" si="31"/>
        <v>61431.833950821783</v>
      </c>
      <c r="P94" s="8">
        <f t="shared" si="32"/>
        <v>153.1965933935644</v>
      </c>
      <c r="Q94" s="16">
        <f t="shared" si="33"/>
        <v>59440.278236705373</v>
      </c>
    </row>
    <row r="95" spans="2:17" ht="17.100000000000001" customHeight="1" x14ac:dyDescent="0.3">
      <c r="B95" s="7" t="s">
        <v>52</v>
      </c>
      <c r="C95" s="7" t="s">
        <v>46</v>
      </c>
      <c r="D95" s="8">
        <f>$C$11-3800</f>
        <v>60200</v>
      </c>
      <c r="E95" s="9">
        <v>276</v>
      </c>
      <c r="F95" s="10">
        <f t="shared" si="24"/>
        <v>5.352159468438538E-2</v>
      </c>
      <c r="G95" s="11">
        <f t="shared" si="25"/>
        <v>161.1</v>
      </c>
      <c r="H95" s="10">
        <f t="shared" si="34"/>
        <v>1.3601759762589114</v>
      </c>
      <c r="I95" s="12">
        <f t="shared" si="35"/>
        <v>4164.6000000000004</v>
      </c>
      <c r="J95" s="13">
        <f t="shared" si="26"/>
        <v>61236.194032106068</v>
      </c>
      <c r="K95" s="12">
        <f t="shared" si="27"/>
        <v>4425.9937707864701</v>
      </c>
      <c r="L95" s="8">
        <f t="shared" si="28"/>
        <v>54154.979056560216</v>
      </c>
      <c r="M95" s="14">
        <f t="shared" si="29"/>
        <v>0.10041563028969741</v>
      </c>
      <c r="N95" s="14">
        <f t="shared" si="30"/>
        <v>0.05</v>
      </c>
      <c r="O95" s="15">
        <f t="shared" si="31"/>
        <v>61389.28451718633</v>
      </c>
      <c r="P95" s="8">
        <f t="shared" si="32"/>
        <v>153.09048508026171</v>
      </c>
      <c r="Q95" s="16">
        <f t="shared" si="33"/>
        <v>59399.108211142884</v>
      </c>
    </row>
    <row r="96" spans="2:17" ht="17.100000000000001" customHeight="1" x14ac:dyDescent="0.3">
      <c r="B96" s="7" t="s">
        <v>52</v>
      </c>
      <c r="C96" s="7" t="s">
        <v>47</v>
      </c>
      <c r="D96" s="8">
        <f>$C$11-3850</f>
        <v>60150</v>
      </c>
      <c r="E96" s="9">
        <v>284</v>
      </c>
      <c r="F96" s="10">
        <f t="shared" si="24"/>
        <v>5.5128844555278472E-2</v>
      </c>
      <c r="G96" s="11">
        <f t="shared" si="25"/>
        <v>165.8</v>
      </c>
      <c r="H96" s="10">
        <f t="shared" si="34"/>
        <v>1.4153048208141898</v>
      </c>
      <c r="I96" s="12">
        <f t="shared" si="35"/>
        <v>4330.4000000000005</v>
      </c>
      <c r="J96" s="13">
        <f t="shared" si="26"/>
        <v>61193.884685686702</v>
      </c>
      <c r="K96" s="12">
        <f t="shared" si="27"/>
        <v>4192.1849719735046</v>
      </c>
      <c r="L96" s="8">
        <f t="shared" si="28"/>
        <v>54400.270310552936</v>
      </c>
      <c r="M96" s="14">
        <f t="shared" si="29"/>
        <v>9.5589853523641952E-2</v>
      </c>
      <c r="N96" s="14">
        <f t="shared" si="30"/>
        <v>0.05</v>
      </c>
      <c r="O96" s="15">
        <f t="shared" si="31"/>
        <v>61346.869397400915</v>
      </c>
      <c r="P96" s="8">
        <f t="shared" si="32"/>
        <v>152.98471171421261</v>
      </c>
      <c r="Q96" s="16">
        <f t="shared" si="33"/>
        <v>59358.0681451161</v>
      </c>
    </row>
    <row r="97" spans="2:17" ht="17.100000000000001" customHeight="1" x14ac:dyDescent="0.3">
      <c r="B97" s="7" t="s">
        <v>52</v>
      </c>
      <c r="C97" s="7" t="s">
        <v>48</v>
      </c>
      <c r="D97" s="8">
        <f>$C$11-3900</f>
        <v>60100</v>
      </c>
      <c r="E97" s="9">
        <v>292</v>
      </c>
      <c r="F97" s="10">
        <f t="shared" si="24"/>
        <v>5.6738768718801999E-2</v>
      </c>
      <c r="G97" s="11">
        <f t="shared" si="25"/>
        <v>170.5</v>
      </c>
      <c r="H97" s="10">
        <f t="shared" si="34"/>
        <v>1.4720435895329917</v>
      </c>
      <c r="I97" s="12">
        <f t="shared" si="35"/>
        <v>4500.9000000000005</v>
      </c>
      <c r="J97" s="13">
        <f t="shared" si="26"/>
        <v>61151.721756118903</v>
      </c>
      <c r="K97" s="12">
        <f t="shared" si="27"/>
        <v>3950.9197309327883</v>
      </c>
      <c r="L97" s="8">
        <f t="shared" si="28"/>
        <v>54631.602674229231</v>
      </c>
      <c r="M97" s="14">
        <f t="shared" si="29"/>
        <v>9.0988308249097663E-2</v>
      </c>
      <c r="N97" s="14">
        <f t="shared" si="30"/>
        <v>0.05</v>
      </c>
      <c r="O97" s="15">
        <f t="shared" si="31"/>
        <v>61304.601060509194</v>
      </c>
      <c r="P97" s="8">
        <f t="shared" si="32"/>
        <v>152.87930439029151</v>
      </c>
      <c r="Q97" s="16">
        <f t="shared" si="33"/>
        <v>59317.170103435332</v>
      </c>
    </row>
    <row r="98" spans="2:17" ht="17.100000000000001" customHeight="1" x14ac:dyDescent="0.3">
      <c r="B98" s="7" t="s">
        <v>52</v>
      </c>
      <c r="C98" s="7" t="s">
        <v>49</v>
      </c>
      <c r="D98" s="8">
        <f>$C$11-3950</f>
        <v>60050</v>
      </c>
      <c r="E98" s="9">
        <v>300</v>
      </c>
      <c r="F98" s="10">
        <f t="shared" si="24"/>
        <v>5.8318068276436305E-2</v>
      </c>
      <c r="G98" s="11">
        <f t="shared" si="25"/>
        <v>175.1</v>
      </c>
      <c r="H98" s="10">
        <f t="shared" si="34"/>
        <v>1.5303616578094281</v>
      </c>
      <c r="I98" s="12">
        <f t="shared" si="35"/>
        <v>4676.0000000000009</v>
      </c>
      <c r="J98" s="13">
        <f t="shared" si="26"/>
        <v>61109.738030071458</v>
      </c>
      <c r="K98" s="12">
        <f t="shared" si="27"/>
        <v>3702.2175514561459</v>
      </c>
      <c r="L98" s="8">
        <f t="shared" si="28"/>
        <v>54849.582818622286</v>
      </c>
      <c r="M98" s="14">
        <f t="shared" si="29"/>
        <v>8.6601451813117639E-2</v>
      </c>
      <c r="N98" s="14">
        <f t="shared" si="30"/>
        <v>0.05</v>
      </c>
      <c r="O98" s="15">
        <f t="shared" si="31"/>
        <v>61262.512375146631</v>
      </c>
      <c r="P98" s="8">
        <f t="shared" si="32"/>
        <v>152.77434507517319</v>
      </c>
      <c r="Q98" s="16">
        <f t="shared" si="33"/>
        <v>59276.445889169314</v>
      </c>
    </row>
    <row r="99" spans="2:17" ht="17.100000000000001" customHeight="1" x14ac:dyDescent="0.3">
      <c r="B99" s="7" t="s">
        <v>53</v>
      </c>
      <c r="C99" s="7" t="s">
        <v>30</v>
      </c>
      <c r="D99" s="8">
        <f>$C$11-4000</f>
        <v>60000</v>
      </c>
      <c r="E99" s="9">
        <v>304</v>
      </c>
      <c r="F99" s="10">
        <f t="shared" si="24"/>
        <v>5.9166666666666666E-2</v>
      </c>
      <c r="G99" s="11">
        <f t="shared" si="25"/>
        <v>177.5</v>
      </c>
      <c r="H99" s="10">
        <f t="shared" si="34"/>
        <v>1.5895283244760947</v>
      </c>
      <c r="I99" s="12">
        <f t="shared" si="35"/>
        <v>4853.5000000000009</v>
      </c>
      <c r="J99" s="13">
        <f t="shared" si="26"/>
        <v>61068.430493048363</v>
      </c>
      <c r="K99" s="12">
        <f t="shared" si="27"/>
        <v>3448.1994685656664</v>
      </c>
      <c r="L99" s="8">
        <f t="shared" si="28"/>
        <v>55052.518625161669</v>
      </c>
      <c r="M99" s="14">
        <f t="shared" si="29"/>
        <v>8.2458022913972182E-2</v>
      </c>
      <c r="N99" s="14">
        <f t="shared" si="30"/>
        <v>0.02</v>
      </c>
      <c r="O99" s="15">
        <f t="shared" si="31"/>
        <v>61129.498923541403</v>
      </c>
      <c r="P99" s="8">
        <f t="shared" si="32"/>
        <v>61.068430493040069</v>
      </c>
      <c r="Q99" s="16">
        <f t="shared" si="33"/>
        <v>59236.377578256914</v>
      </c>
    </row>
    <row r="100" spans="2:17" ht="17.100000000000001" customHeight="1" x14ac:dyDescent="0.3">
      <c r="B100" s="7" t="s">
        <v>53</v>
      </c>
      <c r="C100" s="7" t="s">
        <v>31</v>
      </c>
      <c r="D100" s="8">
        <f>$C$11-4050</f>
        <v>59950</v>
      </c>
      <c r="E100" s="9">
        <v>320</v>
      </c>
      <c r="F100" s="10">
        <f t="shared" si="24"/>
        <v>6.2318598832360302E-2</v>
      </c>
      <c r="G100" s="11">
        <f t="shared" si="25"/>
        <v>186.8</v>
      </c>
      <c r="H100" s="10">
        <f t="shared" si="34"/>
        <v>1.651846923308455</v>
      </c>
      <c r="I100" s="12">
        <f t="shared" si="35"/>
        <v>5040.3000000000011</v>
      </c>
      <c r="J100" s="13">
        <f t="shared" si="26"/>
        <v>61026.235892426084</v>
      </c>
      <c r="K100" s="12">
        <f t="shared" si="27"/>
        <v>3181.9230523418423</v>
      </c>
      <c r="L100" s="8">
        <f t="shared" si="28"/>
        <v>55248.649417829409</v>
      </c>
      <c r="M100" s="14">
        <f t="shared" si="29"/>
        <v>7.8421194031202526E-2</v>
      </c>
      <c r="N100" s="14">
        <f t="shared" si="30"/>
        <v>0.02</v>
      </c>
      <c r="O100" s="15">
        <f t="shared" si="31"/>
        <v>61087.262128318507</v>
      </c>
      <c r="P100" s="8">
        <f t="shared" si="32"/>
        <v>61.026235892422847</v>
      </c>
      <c r="Q100" s="16">
        <f t="shared" si="33"/>
        <v>59195.448815653297</v>
      </c>
    </row>
    <row r="101" spans="2:17" ht="17.100000000000001" customHeight="1" x14ac:dyDescent="0.3">
      <c r="B101" s="7" t="s">
        <v>53</v>
      </c>
      <c r="C101" s="7" t="s">
        <v>32</v>
      </c>
      <c r="D101" s="8">
        <f>$C$11-4100</f>
        <v>59900</v>
      </c>
      <c r="E101" s="9">
        <v>336</v>
      </c>
      <c r="F101" s="10">
        <f t="shared" si="24"/>
        <v>6.5475792988313852E-2</v>
      </c>
      <c r="G101" s="11">
        <f t="shared" si="25"/>
        <v>196.1</v>
      </c>
      <c r="H101" s="10">
        <f t="shared" si="34"/>
        <v>1.7173227162967688</v>
      </c>
      <c r="I101" s="12">
        <f t="shared" si="35"/>
        <v>5236.4000000000015</v>
      </c>
      <c r="J101" s="13">
        <f t="shared" si="26"/>
        <v>60983.296270508363</v>
      </c>
      <c r="K101" s="12">
        <f t="shared" si="27"/>
        <v>2903.2307061764177</v>
      </c>
      <c r="L101" s="8">
        <f t="shared" si="28"/>
        <v>55437.466235699889</v>
      </c>
      <c r="M101" s="14">
        <f t="shared" si="29"/>
        <v>7.449972895325728E-2</v>
      </c>
      <c r="N101" s="14">
        <f t="shared" si="30"/>
        <v>0.02</v>
      </c>
      <c r="O101" s="15">
        <f t="shared" si="31"/>
        <v>61044.279566778867</v>
      </c>
      <c r="P101" s="8">
        <f t="shared" si="32"/>
        <v>60.98329627050407</v>
      </c>
      <c r="Q101" s="16">
        <f t="shared" si="33"/>
        <v>59153.79738239311</v>
      </c>
    </row>
    <row r="102" spans="2:17" ht="17.100000000000001" customHeight="1" x14ac:dyDescent="0.3">
      <c r="B102" s="7" t="s">
        <v>53</v>
      </c>
      <c r="C102" s="7" t="s">
        <v>33</v>
      </c>
      <c r="D102" s="8">
        <f>$C$11-4150</f>
        <v>59850</v>
      </c>
      <c r="E102" s="9">
        <v>352</v>
      </c>
      <c r="F102" s="10">
        <f t="shared" si="24"/>
        <v>6.8671679197994981E-2</v>
      </c>
      <c r="G102" s="11">
        <f t="shared" si="25"/>
        <v>205.5</v>
      </c>
      <c r="H102" s="10">
        <f t="shared" si="34"/>
        <v>1.7859943954947637</v>
      </c>
      <c r="I102" s="12">
        <f t="shared" si="35"/>
        <v>5441.9000000000015</v>
      </c>
      <c r="J102" s="13">
        <f t="shared" si="26"/>
        <v>60939.72090536671</v>
      </c>
      <c r="K102" s="12">
        <f t="shared" si="27"/>
        <v>2611.8645703615744</v>
      </c>
      <c r="L102" s="8">
        <f t="shared" si="28"/>
        <v>55618.692655144696</v>
      </c>
      <c r="M102" s="14">
        <f t="shared" si="29"/>
        <v>7.069853541947041E-2</v>
      </c>
      <c r="N102" s="14">
        <f t="shared" si="30"/>
        <v>0.02</v>
      </c>
      <c r="O102" s="15">
        <f t="shared" si="31"/>
        <v>61000.660626272067</v>
      </c>
      <c r="P102" s="8">
        <f t="shared" si="32"/>
        <v>60.939720905356808</v>
      </c>
      <c r="Q102" s="16">
        <f t="shared" si="33"/>
        <v>59111.529278205708</v>
      </c>
    </row>
    <row r="103" spans="2:17" ht="17.100000000000001" customHeight="1" x14ac:dyDescent="0.3">
      <c r="B103" s="7" t="s">
        <v>53</v>
      </c>
      <c r="C103" s="7" t="s">
        <v>34</v>
      </c>
      <c r="D103" s="8">
        <f>$C$11-4200</f>
        <v>59800</v>
      </c>
      <c r="E103" s="9">
        <v>368</v>
      </c>
      <c r="F103" s="10">
        <f t="shared" si="24"/>
        <v>7.1839464882943141E-2</v>
      </c>
      <c r="G103" s="11">
        <f t="shared" si="25"/>
        <v>214.8</v>
      </c>
      <c r="H103" s="10">
        <f t="shared" si="34"/>
        <v>1.8578338603777069</v>
      </c>
      <c r="I103" s="12">
        <f t="shared" si="35"/>
        <v>5656.7000000000016</v>
      </c>
      <c r="J103" s="13">
        <f t="shared" si="26"/>
        <v>60895.649720260415</v>
      </c>
      <c r="K103" s="12">
        <f t="shared" si="27"/>
        <v>2307.7648505868365</v>
      </c>
      <c r="L103" s="8">
        <f t="shared" si="28"/>
        <v>55791.997076347652</v>
      </c>
      <c r="M103" s="14">
        <f t="shared" si="29"/>
        <v>6.7023460261744952E-2</v>
      </c>
      <c r="N103" s="14">
        <f t="shared" si="30"/>
        <v>0.02</v>
      </c>
      <c r="O103" s="15">
        <f t="shared" si="31"/>
        <v>60956.545369980668</v>
      </c>
      <c r="P103" s="8">
        <f t="shared" si="32"/>
        <v>60.89564972025255</v>
      </c>
      <c r="Q103" s="16">
        <f t="shared" si="33"/>
        <v>59068.780228652598</v>
      </c>
    </row>
    <row r="104" spans="2:17" ht="17.100000000000001" customHeight="1" x14ac:dyDescent="0.3">
      <c r="B104" s="7" t="s">
        <v>53</v>
      </c>
      <c r="C104" s="7" t="s">
        <v>35</v>
      </c>
      <c r="D104" s="8">
        <f>$C$11-4250</f>
        <v>59750</v>
      </c>
      <c r="E104" s="9">
        <v>384</v>
      </c>
      <c r="F104" s="10">
        <f t="shared" si="24"/>
        <v>7.504602510460251E-2</v>
      </c>
      <c r="G104" s="11">
        <f t="shared" si="25"/>
        <v>224.2</v>
      </c>
      <c r="H104" s="10">
        <f t="shared" si="34"/>
        <v>1.9328798854823095</v>
      </c>
      <c r="I104" s="12">
        <f t="shared" si="35"/>
        <v>5880.9000000000015</v>
      </c>
      <c r="J104" s="13">
        <f t="shared" si="26"/>
        <v>60851.168706042452</v>
      </c>
      <c r="K104" s="12">
        <f t="shared" si="27"/>
        <v>1990.673157567961</v>
      </c>
      <c r="L104" s="8">
        <f t="shared" si="28"/>
        <v>55957.328120707571</v>
      </c>
      <c r="M104" s="14">
        <f t="shared" si="29"/>
        <v>6.3475679988157813E-2</v>
      </c>
      <c r="N104" s="14">
        <f t="shared" si="30"/>
        <v>0.02</v>
      </c>
      <c r="O104" s="15">
        <f t="shared" si="31"/>
        <v>60912.01987474849</v>
      </c>
      <c r="P104" s="8">
        <f t="shared" si="32"/>
        <v>60.851168706038152</v>
      </c>
      <c r="Q104" s="16">
        <f t="shared" si="33"/>
        <v>59025.633644861176</v>
      </c>
    </row>
    <row r="105" spans="2:17" ht="17.100000000000001" customHeight="1" x14ac:dyDescent="0.3">
      <c r="B105" s="7" t="s">
        <v>53</v>
      </c>
      <c r="C105" s="7" t="s">
        <v>36</v>
      </c>
      <c r="D105" s="8">
        <f>$C$11-4300</f>
        <v>59700</v>
      </c>
      <c r="E105" s="9">
        <v>400</v>
      </c>
      <c r="F105" s="10">
        <f t="shared" si="24"/>
        <v>7.8224455611390284E-2</v>
      </c>
      <c r="G105" s="11">
        <f t="shared" si="25"/>
        <v>233.5</v>
      </c>
      <c r="H105" s="10">
        <f t="shared" si="34"/>
        <v>2.0111043410937</v>
      </c>
      <c r="I105" s="12">
        <f t="shared" si="35"/>
        <v>6114.4000000000015</v>
      </c>
      <c r="J105" s="13">
        <f t="shared" si="26"/>
        <v>60806.392538288732</v>
      </c>
      <c r="K105" s="12">
        <f t="shared" si="27"/>
        <v>1660.5291632938524</v>
      </c>
      <c r="L105" s="8">
        <f t="shared" si="28"/>
        <v>56114.572973951312</v>
      </c>
      <c r="M105" s="14">
        <f t="shared" si="29"/>
        <v>6.0057404121418564E-2</v>
      </c>
      <c r="N105" s="14">
        <f t="shared" si="30"/>
        <v>0.02</v>
      </c>
      <c r="O105" s="15">
        <f t="shared" si="31"/>
        <v>60867.198930827013</v>
      </c>
      <c r="P105" s="8">
        <f t="shared" si="32"/>
        <v>60.806392538281216</v>
      </c>
      <c r="Q105" s="16">
        <f t="shared" si="33"/>
        <v>58982.20076214007</v>
      </c>
    </row>
    <row r="106" spans="2:17" ht="17.100000000000001" customHeight="1" x14ac:dyDescent="0.3">
      <c r="B106" s="7" t="s">
        <v>53</v>
      </c>
      <c r="C106" s="7" t="s">
        <v>37</v>
      </c>
      <c r="D106" s="8">
        <f>$C$11-4350</f>
        <v>59650</v>
      </c>
      <c r="E106" s="9">
        <v>416</v>
      </c>
      <c r="F106" s="10">
        <f t="shared" si="24"/>
        <v>8.140821458507963E-2</v>
      </c>
      <c r="G106" s="11">
        <f t="shared" si="25"/>
        <v>242.8</v>
      </c>
      <c r="H106" s="10">
        <f t="shared" si="34"/>
        <v>2.0925125556787796</v>
      </c>
      <c r="I106" s="12">
        <f t="shared" si="35"/>
        <v>6357.2000000000016</v>
      </c>
      <c r="J106" s="13">
        <f t="shared" si="26"/>
        <v>60761.403631700756</v>
      </c>
      <c r="K106" s="12">
        <f t="shared" si="27"/>
        <v>1317.1739462391729</v>
      </c>
      <c r="L106" s="8">
        <f t="shared" si="28"/>
        <v>56263.778679403076</v>
      </c>
      <c r="M106" s="14">
        <f t="shared" si="29"/>
        <v>5.6768169666335688E-2</v>
      </c>
      <c r="N106" s="14">
        <f t="shared" si="30"/>
        <v>0.02</v>
      </c>
      <c r="O106" s="15">
        <f t="shared" si="31"/>
        <v>60822.165035332451</v>
      </c>
      <c r="P106" s="8">
        <f t="shared" si="32"/>
        <v>60.76140363169543</v>
      </c>
      <c r="Q106" s="16">
        <f t="shared" si="33"/>
        <v>58938.561522749733</v>
      </c>
    </row>
    <row r="107" spans="2:17" ht="17.100000000000001" customHeight="1" x14ac:dyDescent="0.3">
      <c r="B107" s="7" t="s">
        <v>53</v>
      </c>
      <c r="C107" s="7" t="s">
        <v>38</v>
      </c>
      <c r="D107" s="8">
        <f>$C$11-4400</f>
        <v>59600</v>
      </c>
      <c r="E107" s="9">
        <v>432</v>
      </c>
      <c r="F107" s="10">
        <f t="shared" si="24"/>
        <v>8.4630872483221473E-2</v>
      </c>
      <c r="G107" s="11">
        <f t="shared" si="25"/>
        <v>252.2</v>
      </c>
      <c r="H107" s="10">
        <f t="shared" si="34"/>
        <v>2.177143428162001</v>
      </c>
      <c r="I107" s="12">
        <f t="shared" si="35"/>
        <v>6609.4000000000015</v>
      </c>
      <c r="J107" s="13">
        <f t="shared" si="26"/>
        <v>60716.257041271943</v>
      </c>
      <c r="K107" s="12">
        <f t="shared" si="27"/>
        <v>960.34831845522785</v>
      </c>
      <c r="L107" s="8">
        <f t="shared" si="28"/>
        <v>56405.107932610488</v>
      </c>
      <c r="M107" s="14">
        <f t="shared" si="29"/>
        <v>5.3605571600495165E-2</v>
      </c>
      <c r="N107" s="14">
        <f t="shared" si="30"/>
        <v>0.02</v>
      </c>
      <c r="O107" s="15">
        <f t="shared" si="31"/>
        <v>60776.973298313205</v>
      </c>
      <c r="P107" s="8">
        <f t="shared" si="32"/>
        <v>60.716257041261997</v>
      </c>
      <c r="Q107" s="16">
        <f t="shared" si="33"/>
        <v>58894.769330033785</v>
      </c>
    </row>
    <row r="108" spans="2:17" ht="17.100000000000001" customHeight="1" x14ac:dyDescent="0.3">
      <c r="B108" s="7" t="s">
        <v>53</v>
      </c>
      <c r="C108" s="7" t="s">
        <v>39</v>
      </c>
      <c r="D108" s="8">
        <f>$C$11-4450</f>
        <v>59550</v>
      </c>
      <c r="E108" s="9">
        <v>448</v>
      </c>
      <c r="F108" s="10">
        <f t="shared" si="24"/>
        <v>8.7825356842989089E-2</v>
      </c>
      <c r="G108" s="11">
        <f t="shared" si="25"/>
        <v>261.5</v>
      </c>
      <c r="H108" s="10">
        <f t="shared" si="34"/>
        <v>2.26496878500499</v>
      </c>
      <c r="I108" s="12">
        <f t="shared" si="35"/>
        <v>6870.9000000000015</v>
      </c>
      <c r="J108" s="13">
        <f t="shared" si="26"/>
        <v>60671.034810617617</v>
      </c>
      <c r="K108" s="12">
        <f t="shared" si="27"/>
        <v>589.99114704711565</v>
      </c>
      <c r="L108" s="8">
        <f t="shared" si="28"/>
        <v>56538.65620801672</v>
      </c>
      <c r="M108" s="14">
        <f t="shared" si="29"/>
        <v>5.0568325642036602E-2</v>
      </c>
      <c r="N108" s="14">
        <f t="shared" si="30"/>
        <v>0.02</v>
      </c>
      <c r="O108" s="15">
        <f t="shared" si="31"/>
        <v>60731.705845428231</v>
      </c>
      <c r="P108" s="8">
        <f t="shared" si="32"/>
        <v>60.671034810613492</v>
      </c>
      <c r="Q108" s="16">
        <f t="shared" si="33"/>
        <v>58850.903766299089</v>
      </c>
    </row>
    <row r="109" spans="2:17" ht="17.100000000000001" customHeight="1" x14ac:dyDescent="0.3">
      <c r="B109" s="7" t="s">
        <v>53</v>
      </c>
      <c r="C109" s="7" t="s">
        <v>40</v>
      </c>
      <c r="D109" s="8">
        <f>$C$11-4500</f>
        <v>59500</v>
      </c>
      <c r="E109" s="9">
        <v>464</v>
      </c>
      <c r="F109" s="10">
        <f t="shared" si="24"/>
        <v>9.1058823529411761E-2</v>
      </c>
      <c r="G109" s="11">
        <f t="shared" si="25"/>
        <v>270.89999999999998</v>
      </c>
      <c r="H109" s="10">
        <f t="shared" si="34"/>
        <v>2.3560276085344016</v>
      </c>
      <c r="I109" s="12">
        <f t="shared" si="35"/>
        <v>7141.8000000000011</v>
      </c>
      <c r="J109" s="13">
        <f t="shared" si="26"/>
        <v>60625.775132088995</v>
      </c>
      <c r="K109" s="12">
        <f t="shared" si="27"/>
        <v>205.84270779686449</v>
      </c>
      <c r="L109" s="8">
        <f t="shared" si="28"/>
        <v>56664.666026977233</v>
      </c>
      <c r="M109" s="14">
        <f t="shared" si="29"/>
        <v>4.7652671815508689E-2</v>
      </c>
      <c r="N109" s="14">
        <f t="shared" si="30"/>
        <v>0.02</v>
      </c>
      <c r="O109" s="15">
        <f t="shared" si="31"/>
        <v>60686.400907221076</v>
      </c>
      <c r="P109" s="8">
        <f t="shared" si="32"/>
        <v>60.625775132080889</v>
      </c>
      <c r="Q109" s="16">
        <f t="shared" si="33"/>
        <v>58807.001878126321</v>
      </c>
    </row>
    <row r="110" spans="2:17" ht="17.100000000000001" customHeight="1" x14ac:dyDescent="0.3">
      <c r="B110" s="7" t="s">
        <v>53</v>
      </c>
      <c r="C110" s="7" t="s">
        <v>41</v>
      </c>
      <c r="D110" s="8">
        <f>$C$11-4550</f>
        <v>59450</v>
      </c>
      <c r="E110" s="9">
        <v>480</v>
      </c>
      <c r="F110" s="10">
        <f t="shared" si="24"/>
        <v>9.4264087468460891E-2</v>
      </c>
      <c r="G110" s="11">
        <f t="shared" si="25"/>
        <v>280.2</v>
      </c>
      <c r="H110" s="10">
        <f t="shared" si="34"/>
        <v>2.4502916960028625</v>
      </c>
      <c r="I110" s="12">
        <f t="shared" si="35"/>
        <v>7422.0000000000009</v>
      </c>
      <c r="J110" s="13">
        <f t="shared" si="26"/>
        <v>60580.542407317786</v>
      </c>
      <c r="K110" s="12">
        <f t="shared" si="27"/>
        <v>-192.15867262985648</v>
      </c>
      <c r="L110" s="8">
        <f t="shared" si="28"/>
        <v>56783.312215003032</v>
      </c>
      <c r="M110" s="14">
        <f t="shared" si="29"/>
        <v>4.4855976198435121E-2</v>
      </c>
      <c r="N110" s="14">
        <f t="shared" si="30"/>
        <v>0.02</v>
      </c>
      <c r="O110" s="15">
        <f t="shared" si="31"/>
        <v>60641.122949725097</v>
      </c>
      <c r="P110" s="8">
        <f t="shared" si="32"/>
        <v>60.580542407311441</v>
      </c>
      <c r="Q110" s="16">
        <f t="shared" si="33"/>
        <v>58763.126135098253</v>
      </c>
    </row>
    <row r="111" spans="2:17" ht="17.100000000000001" customHeight="1" x14ac:dyDescent="0.3">
      <c r="B111" s="7" t="s">
        <v>53</v>
      </c>
      <c r="C111" s="7" t="s">
        <v>42</v>
      </c>
      <c r="D111" s="8">
        <f>$C$11-4600</f>
        <v>59400</v>
      </c>
      <c r="E111" s="9">
        <v>496</v>
      </c>
      <c r="F111" s="10">
        <f t="shared" si="24"/>
        <v>9.7508417508417503E-2</v>
      </c>
      <c r="G111" s="11">
        <f t="shared" si="25"/>
        <v>289.60000000000002</v>
      </c>
      <c r="H111" s="10">
        <f t="shared" si="34"/>
        <v>2.54780011351128</v>
      </c>
      <c r="I111" s="12">
        <f t="shared" si="35"/>
        <v>7711.6000000000013</v>
      </c>
      <c r="J111" s="13">
        <f t="shared" si="26"/>
        <v>60535.361146304145</v>
      </c>
      <c r="K111" s="12">
        <f t="shared" si="27"/>
        <v>-604.27325742999938</v>
      </c>
      <c r="L111" s="8">
        <f t="shared" si="28"/>
        <v>56894.88086246459</v>
      </c>
      <c r="M111" s="14">
        <f t="shared" si="29"/>
        <v>4.2173722854131485E-2</v>
      </c>
      <c r="N111" s="14">
        <f t="shared" si="30"/>
        <v>0.02</v>
      </c>
      <c r="O111" s="15">
        <f t="shared" si="31"/>
        <v>60595.896507450445</v>
      </c>
      <c r="P111" s="8">
        <f t="shared" si="32"/>
        <v>60.535361146299692</v>
      </c>
      <c r="Q111" s="16">
        <f t="shared" si="33"/>
        <v>58719.300311915016</v>
      </c>
    </row>
    <row r="112" spans="2:17" ht="17.100000000000001" customHeight="1" x14ac:dyDescent="0.3">
      <c r="B112" s="7" t="s">
        <v>53</v>
      </c>
      <c r="C112" s="7" t="s">
        <v>43</v>
      </c>
      <c r="D112" s="8">
        <f>$C$11-4650</f>
        <v>59350</v>
      </c>
      <c r="E112" s="9">
        <v>512</v>
      </c>
      <c r="F112" s="10">
        <f t="shared" si="24"/>
        <v>0.10072451558550968</v>
      </c>
      <c r="G112" s="11">
        <f t="shared" si="25"/>
        <v>298.89999999999998</v>
      </c>
      <c r="H112" s="10">
        <f t="shared" si="34"/>
        <v>2.6485246290967899</v>
      </c>
      <c r="I112" s="12">
        <f t="shared" si="35"/>
        <v>8010.5000000000009</v>
      </c>
      <c r="J112" s="13">
        <f t="shared" si="26"/>
        <v>60490.281358884502</v>
      </c>
      <c r="K112" s="12">
        <f t="shared" si="27"/>
        <v>-1030.5632631055601</v>
      </c>
      <c r="L112" s="8">
        <f t="shared" si="28"/>
        <v>56999.592324759942</v>
      </c>
      <c r="M112" s="14">
        <f t="shared" si="29"/>
        <v>3.9602488209605019E-2</v>
      </c>
      <c r="N112" s="14">
        <f t="shared" si="30"/>
        <v>0.02</v>
      </c>
      <c r="O112" s="15">
        <f t="shared" si="31"/>
        <v>60550.77164024338</v>
      </c>
      <c r="P112" s="8">
        <f t="shared" si="32"/>
        <v>60.490281358877837</v>
      </c>
      <c r="Q112" s="16">
        <f t="shared" si="33"/>
        <v>58675.572918117963</v>
      </c>
    </row>
    <row r="113" spans="2:17" ht="17.100000000000001" customHeight="1" x14ac:dyDescent="0.3">
      <c r="B113" s="7" t="s">
        <v>53</v>
      </c>
      <c r="C113" s="7" t="s">
        <v>44</v>
      </c>
      <c r="D113" s="8">
        <f>$C$11-4700</f>
        <v>59300</v>
      </c>
      <c r="E113" s="9">
        <v>528</v>
      </c>
      <c r="F113" s="10">
        <f t="shared" si="24"/>
        <v>0.1039460370994941</v>
      </c>
      <c r="G113" s="11">
        <f t="shared" si="25"/>
        <v>308.2</v>
      </c>
      <c r="H113" s="10">
        <f t="shared" si="34"/>
        <v>2.7524706661962841</v>
      </c>
      <c r="I113" s="12">
        <f t="shared" si="35"/>
        <v>8318.7000000000007</v>
      </c>
      <c r="J113" s="13">
        <f t="shared" si="26"/>
        <v>60445.330823422315</v>
      </c>
      <c r="K113" s="12">
        <f t="shared" si="27"/>
        <v>-1471.189494560359</v>
      </c>
      <c r="L113" s="8">
        <f t="shared" si="28"/>
        <v>57097.719850420202</v>
      </c>
      <c r="M113" s="14">
        <f t="shared" si="29"/>
        <v>3.713794518684313E-2</v>
      </c>
      <c r="N113" s="14">
        <f t="shared" si="30"/>
        <v>0.02</v>
      </c>
      <c r="O113" s="15">
        <f t="shared" si="31"/>
        <v>60505.77615424573</v>
      </c>
      <c r="P113" s="8">
        <f t="shared" si="32"/>
        <v>60.445330823415134</v>
      </c>
      <c r="Q113" s="16">
        <f t="shared" si="33"/>
        <v>58631.970898719643</v>
      </c>
    </row>
    <row r="114" spans="2:17" ht="17.100000000000001" customHeight="1" x14ac:dyDescent="0.3">
      <c r="B114" s="7" t="s">
        <v>53</v>
      </c>
      <c r="C114" s="7" t="s">
        <v>45</v>
      </c>
      <c r="D114" s="8">
        <f>$C$11-4750</f>
        <v>59250</v>
      </c>
      <c r="E114" s="9">
        <v>544</v>
      </c>
      <c r="F114" s="10">
        <f t="shared" si="24"/>
        <v>0.10720675105485232</v>
      </c>
      <c r="G114" s="11">
        <f t="shared" si="25"/>
        <v>317.60000000000002</v>
      </c>
      <c r="H114" s="10">
        <f t="shared" si="34"/>
        <v>2.8596774172511363</v>
      </c>
      <c r="I114" s="12">
        <f t="shared" si="35"/>
        <v>8636.3000000000011</v>
      </c>
      <c r="J114" s="13">
        <f t="shared" si="26"/>
        <v>60400.51893896229</v>
      </c>
      <c r="K114" s="12">
        <f t="shared" si="27"/>
        <v>-1926.4130278702005</v>
      </c>
      <c r="L114" s="8">
        <f t="shared" si="28"/>
        <v>57189.568867586182</v>
      </c>
      <c r="M114" s="14">
        <f t="shared" si="29"/>
        <v>3.4775208985887221E-2</v>
      </c>
      <c r="N114" s="14">
        <f t="shared" si="30"/>
        <v>0.02</v>
      </c>
      <c r="O114" s="15">
        <f t="shared" si="31"/>
        <v>60460.919457901247</v>
      </c>
      <c r="P114" s="8">
        <f t="shared" si="32"/>
        <v>60.400518938957248</v>
      </c>
      <c r="Q114" s="16">
        <f t="shared" si="33"/>
        <v>58588.50337079342</v>
      </c>
    </row>
    <row r="115" spans="2:17" ht="17.100000000000001" customHeight="1" x14ac:dyDescent="0.3">
      <c r="B115" s="7" t="s">
        <v>53</v>
      </c>
      <c r="C115" s="7" t="s">
        <v>46</v>
      </c>
      <c r="D115" s="8">
        <f>$C$11-4800</f>
        <v>59200</v>
      </c>
      <c r="E115" s="9">
        <v>560</v>
      </c>
      <c r="F115" s="10">
        <f t="shared" ref="F115:F146" si="36">(G115*$C$13)/D115</f>
        <v>0.11043918918918919</v>
      </c>
      <c r="G115" s="11">
        <f t="shared" si="25"/>
        <v>326.89999999999998</v>
      </c>
      <c r="H115" s="10">
        <f t="shared" si="34"/>
        <v>2.9701166064403255</v>
      </c>
      <c r="I115" s="12">
        <f t="shared" si="35"/>
        <v>8963.2000000000007</v>
      </c>
      <c r="J115" s="13">
        <f t="shared" ref="J115:J146" si="37">I115*$C$13/H115</f>
        <v>60355.879500248739</v>
      </c>
      <c r="K115" s="12">
        <f t="shared" ref="K115:K146" si="38">$C$12-I115+H115*(D115-J115)</f>
        <v>-2396.2968987327235</v>
      </c>
      <c r="L115" s="8">
        <f t="shared" si="28"/>
        <v>57275.385247653066</v>
      </c>
      <c r="M115" s="14">
        <f t="shared" ref="M115:M146" si="39">(D115-L115)/D115</f>
        <v>3.2510384330184688E-2</v>
      </c>
      <c r="N115" s="14">
        <f t="shared" si="30"/>
        <v>0.02</v>
      </c>
      <c r="O115" s="15">
        <f t="shared" ref="O115:O146" si="40">J115*(1+N115/$C$13)</f>
        <v>60416.235379748978</v>
      </c>
      <c r="P115" s="8">
        <f t="shared" ref="P115:P146" si="41">O115-J115</f>
        <v>60.355879500239098</v>
      </c>
      <c r="Q115" s="16">
        <f t="shared" si="33"/>
        <v>58545.203115241275</v>
      </c>
    </row>
    <row r="116" spans="2:17" ht="17.100000000000001" customHeight="1" x14ac:dyDescent="0.3">
      <c r="B116" s="7" t="s">
        <v>53</v>
      </c>
      <c r="C116" s="7" t="s">
        <v>47</v>
      </c>
      <c r="D116" s="8">
        <f>$C$11-4850</f>
        <v>59150</v>
      </c>
      <c r="E116" s="9">
        <v>576</v>
      </c>
      <c r="F116" s="10">
        <f t="shared" si="36"/>
        <v>0.11371090448013525</v>
      </c>
      <c r="G116" s="11">
        <f t="shared" si="25"/>
        <v>336.3</v>
      </c>
      <c r="H116" s="10">
        <f t="shared" si="34"/>
        <v>3.0838275109204609</v>
      </c>
      <c r="I116" s="12">
        <f t="shared" si="35"/>
        <v>9299.5</v>
      </c>
      <c r="J116" s="13">
        <f t="shared" si="37"/>
        <v>60311.414740730972</v>
      </c>
      <c r="K116" s="12">
        <f t="shared" si="38"/>
        <v>-2881.1027290547258</v>
      </c>
      <c r="L116" s="8">
        <f t="shared" si="28"/>
        <v>57355.46856396745</v>
      </c>
      <c r="M116" s="14">
        <f t="shared" si="39"/>
        <v>3.0338654877980559E-2</v>
      </c>
      <c r="N116" s="14">
        <f t="shared" si="30"/>
        <v>0.02</v>
      </c>
      <c r="O116" s="15">
        <f t="shared" si="40"/>
        <v>60371.726155471697</v>
      </c>
      <c r="P116" s="8">
        <f t="shared" si="41"/>
        <v>60.311414740725013</v>
      </c>
      <c r="Q116" s="16">
        <f t="shared" si="33"/>
        <v>58502.07229850904</v>
      </c>
    </row>
    <row r="117" spans="2:17" ht="17.100000000000001" customHeight="1" x14ac:dyDescent="0.3">
      <c r="B117" s="7" t="s">
        <v>53</v>
      </c>
      <c r="C117" s="7" t="s">
        <v>48</v>
      </c>
      <c r="D117" s="8">
        <f>$C$11-4900</f>
        <v>59100</v>
      </c>
      <c r="E117" s="9">
        <v>592</v>
      </c>
      <c r="F117" s="10">
        <f t="shared" si="36"/>
        <v>0.11695431472081218</v>
      </c>
      <c r="G117" s="11">
        <f t="shared" si="25"/>
        <v>345.6</v>
      </c>
      <c r="H117" s="10">
        <f t="shared" si="34"/>
        <v>3.2007818256412732</v>
      </c>
      <c r="I117" s="12">
        <f t="shared" si="35"/>
        <v>9645.1</v>
      </c>
      <c r="J117" s="13">
        <f t="shared" si="37"/>
        <v>60267.150498879222</v>
      </c>
      <c r="K117" s="12">
        <f t="shared" si="38"/>
        <v>-3380.8941046007599</v>
      </c>
      <c r="L117" s="8">
        <f t="shared" si="28"/>
        <v>57430.064134661799</v>
      </c>
      <c r="M117" s="14">
        <f t="shared" si="39"/>
        <v>2.8256106012490703E-2</v>
      </c>
      <c r="N117" s="14">
        <f t="shared" si="30"/>
        <v>0.02</v>
      </c>
      <c r="O117" s="15">
        <f t="shared" si="40"/>
        <v>60327.417649378098</v>
      </c>
      <c r="P117" s="8">
        <f t="shared" si="41"/>
        <v>60.267150498875708</v>
      </c>
      <c r="Q117" s="16">
        <f t="shared" si="33"/>
        <v>58459.135983912842</v>
      </c>
    </row>
    <row r="118" spans="2:17" ht="17.100000000000001" customHeight="1" x14ac:dyDescent="0.3">
      <c r="B118" s="7" t="s">
        <v>53</v>
      </c>
      <c r="C118" s="7" t="s">
        <v>49</v>
      </c>
      <c r="D118" s="8">
        <f>$C$11-4950</f>
        <v>59050</v>
      </c>
      <c r="E118" s="9">
        <v>608</v>
      </c>
      <c r="F118" s="10">
        <f t="shared" si="36"/>
        <v>0.12020321761219306</v>
      </c>
      <c r="G118" s="11">
        <f t="shared" si="25"/>
        <v>354.9</v>
      </c>
      <c r="H118" s="10">
        <f t="shared" si="34"/>
        <v>3.3209850432534664</v>
      </c>
      <c r="I118" s="12">
        <f t="shared" si="35"/>
        <v>10000</v>
      </c>
      <c r="J118" s="13">
        <f t="shared" si="37"/>
        <v>60223.095676476209</v>
      </c>
      <c r="K118" s="12">
        <f t="shared" si="38"/>
        <v>-3895.8331958827962</v>
      </c>
      <c r="L118" s="8">
        <f t="shared" si="28"/>
        <v>57499.43808306774</v>
      </c>
      <c r="M118" s="14">
        <f t="shared" si="39"/>
        <v>2.6258457526371886E-2</v>
      </c>
      <c r="N118" s="14">
        <f t="shared" si="30"/>
        <v>0.02</v>
      </c>
      <c r="O118" s="15">
        <f t="shared" si="40"/>
        <v>60283.318772152677</v>
      </c>
      <c r="P118" s="8">
        <f t="shared" si="41"/>
        <v>60.223095676468802</v>
      </c>
      <c r="Q118" s="16">
        <f t="shared" si="33"/>
        <v>58416.402806181919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18"/>
  <sheetViews>
    <sheetView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54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8</v>
      </c>
      <c r="C11" s="2">
        <v>64000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55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8">
        <f>$C$11+0</f>
        <v>64000</v>
      </c>
      <c r="E19" s="9">
        <v>10</v>
      </c>
      <c r="F19" s="10">
        <f t="shared" ref="F19:F50" si="0">(G19*$C$13)/D19</f>
        <v>1.8125000000000001E-3</v>
      </c>
      <c r="G19" s="11">
        <f t="shared" ref="G19:G50" si="1">ROUND($C$12*E19/SUM($E$19:$E$118), 1)</f>
        <v>5.8</v>
      </c>
      <c r="H19" s="10">
        <f>F19</f>
        <v>1.8125000000000001E-3</v>
      </c>
      <c r="I19" s="12">
        <f>G19</f>
        <v>5.8</v>
      </c>
      <c r="J19" s="13">
        <f t="shared" ref="J19:J50" si="2">I19*$C$13/H19</f>
        <v>64000</v>
      </c>
      <c r="K19" s="12">
        <f t="shared" ref="K19:K50" si="3">$C$12-I19+H19*(J19-D19)</f>
        <v>9994.2000000000007</v>
      </c>
      <c r="L19" s="8">
        <f t="shared" ref="L19:L50" si="4">(J19*H19+$C$12)/(H19*(1+$C$14))</f>
        <v>5553474.0092640249</v>
      </c>
      <c r="M19" s="14">
        <f t="shared" ref="M19:M50" si="5">(L19-D19)/D19</f>
        <v>85.77303139475039</v>
      </c>
      <c r="N19" s="14">
        <f t="shared" ref="N19:N50" si="6">IF(OR(B19="1차",B19="2차"),0.1,IF(OR(B19="3차",B19="4차"),0.05,0.02))</f>
        <v>0.1</v>
      </c>
      <c r="O19" s="15">
        <f t="shared" ref="O19:O50" si="7">J19*(1-N19/$C$13)</f>
        <v>63680</v>
      </c>
      <c r="P19" s="8">
        <f t="shared" ref="P19:P50" si="8">J19-O19</f>
        <v>320</v>
      </c>
      <c r="Q19" s="16">
        <f t="shared" ref="Q19:Q50" si="9">J19*(1+$C$15)</f>
        <v>65920</v>
      </c>
    </row>
    <row r="20" spans="2:17" ht="17.100000000000001" customHeight="1" x14ac:dyDescent="0.3">
      <c r="B20" s="7" t="s">
        <v>29</v>
      </c>
      <c r="C20" s="7" t="s">
        <v>31</v>
      </c>
      <c r="D20" s="8">
        <f>$C$11+50</f>
        <v>64050</v>
      </c>
      <c r="E20" s="9">
        <v>11</v>
      </c>
      <c r="F20" s="10">
        <f t="shared" si="0"/>
        <v>1.9984387197501952E-3</v>
      </c>
      <c r="G20" s="11">
        <f t="shared" si="1"/>
        <v>6.4</v>
      </c>
      <c r="H20" s="10">
        <f t="shared" ref="H20:H51" si="10">H19+F20</f>
        <v>3.810938719750195E-3</v>
      </c>
      <c r="I20" s="12">
        <f t="shared" ref="I20:I51" si="11">I19+G20</f>
        <v>12.2</v>
      </c>
      <c r="J20" s="13">
        <f t="shared" si="2"/>
        <v>64026.219769808857</v>
      </c>
      <c r="K20" s="12">
        <f t="shared" si="3"/>
        <v>9987.7093749999985</v>
      </c>
      <c r="L20" s="8">
        <f t="shared" si="4"/>
        <v>2674678.229026678</v>
      </c>
      <c r="M20" s="14">
        <f t="shared" si="5"/>
        <v>40.759222935623391</v>
      </c>
      <c r="N20" s="14">
        <f t="shared" si="6"/>
        <v>0.1</v>
      </c>
      <c r="O20" s="15">
        <f t="shared" si="7"/>
        <v>63706.088670959813</v>
      </c>
      <c r="P20" s="8">
        <f t="shared" si="8"/>
        <v>320.13109884904406</v>
      </c>
      <c r="Q20" s="16">
        <f t="shared" si="9"/>
        <v>65947.006362903121</v>
      </c>
    </row>
    <row r="21" spans="2:17" ht="17.100000000000001" customHeight="1" x14ac:dyDescent="0.3">
      <c r="B21" s="7" t="s">
        <v>29</v>
      </c>
      <c r="C21" s="7" t="s">
        <v>32</v>
      </c>
      <c r="D21" s="8">
        <f>$C$11+100</f>
        <v>64100</v>
      </c>
      <c r="E21" s="9">
        <v>12</v>
      </c>
      <c r="F21" s="10">
        <f t="shared" si="0"/>
        <v>2.1840873634945399E-3</v>
      </c>
      <c r="G21" s="11">
        <f t="shared" si="1"/>
        <v>7</v>
      </c>
      <c r="H21" s="10">
        <f t="shared" si="10"/>
        <v>5.9950260832447345E-3</v>
      </c>
      <c r="I21" s="12">
        <f t="shared" si="11"/>
        <v>19.2</v>
      </c>
      <c r="J21" s="13">
        <f t="shared" si="2"/>
        <v>64053.099130498646</v>
      </c>
      <c r="K21" s="12">
        <f t="shared" si="3"/>
        <v>9980.5188280640123</v>
      </c>
      <c r="L21" s="8">
        <f t="shared" si="4"/>
        <v>1723485.1300038816</v>
      </c>
      <c r="M21" s="14">
        <f t="shared" si="5"/>
        <v>25.887443525801586</v>
      </c>
      <c r="N21" s="14">
        <f t="shared" si="6"/>
        <v>0.1</v>
      </c>
      <c r="O21" s="15">
        <f t="shared" si="7"/>
        <v>63732.833634846153</v>
      </c>
      <c r="P21" s="8">
        <f t="shared" si="8"/>
        <v>320.26549565249297</v>
      </c>
      <c r="Q21" s="16">
        <f t="shared" si="9"/>
        <v>65974.692104413611</v>
      </c>
    </row>
    <row r="22" spans="2:17" ht="17.100000000000001" customHeight="1" x14ac:dyDescent="0.3">
      <c r="B22" s="7" t="s">
        <v>29</v>
      </c>
      <c r="C22" s="7" t="s">
        <v>33</v>
      </c>
      <c r="D22" s="8">
        <f>$C$11+150</f>
        <v>64150</v>
      </c>
      <c r="E22" s="9">
        <v>13</v>
      </c>
      <c r="F22" s="10">
        <f t="shared" si="0"/>
        <v>2.3694466095089636E-3</v>
      </c>
      <c r="G22" s="11">
        <f t="shared" si="1"/>
        <v>7.6</v>
      </c>
      <c r="H22" s="10">
        <f t="shared" si="10"/>
        <v>8.3644726927536977E-3</v>
      </c>
      <c r="I22" s="12">
        <f t="shared" si="11"/>
        <v>26.799999999999997</v>
      </c>
      <c r="J22" s="13">
        <f t="shared" si="2"/>
        <v>64080.548731344061</v>
      </c>
      <c r="K22" s="12">
        <f t="shared" si="3"/>
        <v>9972.6190767598509</v>
      </c>
      <c r="L22" s="8">
        <f t="shared" si="4"/>
        <v>1253346.4421055934</v>
      </c>
      <c r="M22" s="14">
        <f t="shared" si="5"/>
        <v>18.537746564389607</v>
      </c>
      <c r="N22" s="14">
        <f t="shared" si="6"/>
        <v>0.1</v>
      </c>
      <c r="O22" s="15">
        <f t="shared" si="7"/>
        <v>63760.145987687341</v>
      </c>
      <c r="P22" s="8">
        <f t="shared" si="8"/>
        <v>320.40274365671939</v>
      </c>
      <c r="Q22" s="16">
        <f t="shared" si="9"/>
        <v>66002.965193284384</v>
      </c>
    </row>
    <row r="23" spans="2:17" ht="17.100000000000001" customHeight="1" x14ac:dyDescent="0.3">
      <c r="B23" s="7" t="s">
        <v>29</v>
      </c>
      <c r="C23" s="7" t="s">
        <v>34</v>
      </c>
      <c r="D23" s="8">
        <f>$C$11+200</f>
        <v>64200</v>
      </c>
      <c r="E23" s="9">
        <v>14</v>
      </c>
      <c r="F23" s="10">
        <f t="shared" si="0"/>
        <v>2.5545171339563864E-3</v>
      </c>
      <c r="G23" s="11">
        <f t="shared" si="1"/>
        <v>8.1999999999999993</v>
      </c>
      <c r="H23" s="10">
        <f t="shared" si="10"/>
        <v>1.0918989826710085E-2</v>
      </c>
      <c r="I23" s="12">
        <f t="shared" si="11"/>
        <v>35</v>
      </c>
      <c r="J23" s="13">
        <f t="shared" si="2"/>
        <v>64108.494568577829</v>
      </c>
      <c r="K23" s="12">
        <f t="shared" si="3"/>
        <v>9964.0008531252133</v>
      </c>
      <c r="L23" s="8">
        <f t="shared" si="4"/>
        <v>975068.78732591728</v>
      </c>
      <c r="M23" s="14">
        <f t="shared" si="5"/>
        <v>14.187987341525192</v>
      </c>
      <c r="N23" s="14">
        <f t="shared" si="6"/>
        <v>0.1</v>
      </c>
      <c r="O23" s="15">
        <f t="shared" si="7"/>
        <v>63787.952095734938</v>
      </c>
      <c r="P23" s="8">
        <f t="shared" si="8"/>
        <v>320.54247284289158</v>
      </c>
      <c r="Q23" s="16">
        <f t="shared" si="9"/>
        <v>66031.749405635172</v>
      </c>
    </row>
    <row r="24" spans="2:17" ht="17.100000000000001" customHeight="1" x14ac:dyDescent="0.3">
      <c r="B24" s="7" t="s">
        <v>29</v>
      </c>
      <c r="C24" s="7" t="s">
        <v>35</v>
      </c>
      <c r="D24" s="8">
        <f>$C$11+250</f>
        <v>64250</v>
      </c>
      <c r="E24" s="9">
        <v>15</v>
      </c>
      <c r="F24" s="10">
        <f t="shared" si="0"/>
        <v>2.7392996108949416E-3</v>
      </c>
      <c r="G24" s="11">
        <f t="shared" si="1"/>
        <v>8.8000000000000007</v>
      </c>
      <c r="H24" s="10">
        <f t="shared" si="10"/>
        <v>1.3658289437605026E-2</v>
      </c>
      <c r="I24" s="12">
        <f t="shared" si="11"/>
        <v>43.8</v>
      </c>
      <c r="J24" s="13">
        <f t="shared" si="2"/>
        <v>64136.874826223197</v>
      </c>
      <c r="K24" s="12">
        <f t="shared" si="3"/>
        <v>9954.6549036338783</v>
      </c>
      <c r="L24" s="8">
        <f t="shared" si="4"/>
        <v>792331.3235307521</v>
      </c>
      <c r="M24" s="14">
        <f t="shared" si="5"/>
        <v>11.332005035498087</v>
      </c>
      <c r="N24" s="14">
        <f t="shared" si="6"/>
        <v>0.1</v>
      </c>
      <c r="O24" s="15">
        <f t="shared" si="7"/>
        <v>63816.19045209208</v>
      </c>
      <c r="P24" s="8">
        <f t="shared" si="8"/>
        <v>320.68437413111678</v>
      </c>
      <c r="Q24" s="16">
        <f t="shared" si="9"/>
        <v>66060.981071009897</v>
      </c>
    </row>
    <row r="25" spans="2:17" ht="17.100000000000001" customHeight="1" x14ac:dyDescent="0.3">
      <c r="B25" s="7" t="s">
        <v>29</v>
      </c>
      <c r="C25" s="7" t="s">
        <v>36</v>
      </c>
      <c r="D25" s="8">
        <f>$C$11+300</f>
        <v>64300</v>
      </c>
      <c r="E25" s="9">
        <v>16</v>
      </c>
      <c r="F25" s="10">
        <f t="shared" si="0"/>
        <v>2.8926905132192846E-3</v>
      </c>
      <c r="G25" s="11">
        <f t="shared" si="1"/>
        <v>9.3000000000000007</v>
      </c>
      <c r="H25" s="10">
        <f t="shared" si="10"/>
        <v>1.6550979950824309E-2</v>
      </c>
      <c r="I25" s="12">
        <f t="shared" si="11"/>
        <v>53.099999999999994</v>
      </c>
      <c r="J25" s="13">
        <f t="shared" si="2"/>
        <v>64165.384959402836</v>
      </c>
      <c r="K25" s="12">
        <f t="shared" si="3"/>
        <v>9944.671989161996</v>
      </c>
      <c r="L25" s="8">
        <f t="shared" si="4"/>
        <v>665034.04673516995</v>
      </c>
      <c r="M25" s="14">
        <f t="shared" si="5"/>
        <v>9.3426756879497663</v>
      </c>
      <c r="N25" s="14">
        <f t="shared" si="6"/>
        <v>0.1</v>
      </c>
      <c r="O25" s="15">
        <f t="shared" si="7"/>
        <v>63844.55803460582</v>
      </c>
      <c r="P25" s="8">
        <f t="shared" si="8"/>
        <v>320.82692479701655</v>
      </c>
      <c r="Q25" s="16">
        <f t="shared" si="9"/>
        <v>66090.346508184928</v>
      </c>
    </row>
    <row r="26" spans="2:17" ht="17.100000000000001" customHeight="1" x14ac:dyDescent="0.3">
      <c r="B26" s="7" t="s">
        <v>29</v>
      </c>
      <c r="C26" s="7" t="s">
        <v>37</v>
      </c>
      <c r="D26" s="8">
        <f>$C$11+350</f>
        <v>64350</v>
      </c>
      <c r="E26" s="9">
        <v>17</v>
      </c>
      <c r="F26" s="10">
        <f t="shared" si="0"/>
        <v>3.0769230769230769E-3</v>
      </c>
      <c r="G26" s="11">
        <f t="shared" si="1"/>
        <v>9.9</v>
      </c>
      <c r="H26" s="10">
        <f t="shared" si="10"/>
        <v>1.9627903027747386E-2</v>
      </c>
      <c r="I26" s="12">
        <f t="shared" si="11"/>
        <v>62.999999999999993</v>
      </c>
      <c r="J26" s="13">
        <f t="shared" si="2"/>
        <v>64194.325711655241</v>
      </c>
      <c r="K26" s="12">
        <f t="shared" si="3"/>
        <v>9933.944440164456</v>
      </c>
      <c r="L26" s="8">
        <f t="shared" si="4"/>
        <v>570819.00617013208</v>
      </c>
      <c r="M26" s="14">
        <f t="shared" si="5"/>
        <v>7.8705362264200787</v>
      </c>
      <c r="N26" s="14">
        <f t="shared" si="6"/>
        <v>0.1</v>
      </c>
      <c r="O26" s="15">
        <f t="shared" si="7"/>
        <v>63873.354083096965</v>
      </c>
      <c r="P26" s="8">
        <f t="shared" si="8"/>
        <v>320.97162855827628</v>
      </c>
      <c r="Q26" s="16">
        <f t="shared" si="9"/>
        <v>66120.155483004899</v>
      </c>
    </row>
    <row r="27" spans="2:17" ht="17.100000000000001" customHeight="1" x14ac:dyDescent="0.3">
      <c r="B27" s="7" t="s">
        <v>29</v>
      </c>
      <c r="C27" s="7" t="s">
        <v>38</v>
      </c>
      <c r="D27" s="8">
        <f>$C$11+400</f>
        <v>64400</v>
      </c>
      <c r="E27" s="9">
        <v>18</v>
      </c>
      <c r="F27" s="10">
        <f t="shared" si="0"/>
        <v>3.2608695652173911E-3</v>
      </c>
      <c r="G27" s="11">
        <f t="shared" si="1"/>
        <v>10.5</v>
      </c>
      <c r="H27" s="10">
        <f t="shared" si="10"/>
        <v>2.2888772592964776E-2</v>
      </c>
      <c r="I27" s="12">
        <f t="shared" si="11"/>
        <v>73.5</v>
      </c>
      <c r="J27" s="13">
        <f t="shared" si="2"/>
        <v>64223.627284052251</v>
      </c>
      <c r="K27" s="12">
        <f t="shared" si="3"/>
        <v>9922.463045013068</v>
      </c>
      <c r="L27" s="8">
        <f t="shared" si="4"/>
        <v>498625.92137819709</v>
      </c>
      <c r="M27" s="14">
        <f t="shared" si="5"/>
        <v>6.742638530717346</v>
      </c>
      <c r="N27" s="14">
        <f t="shared" si="6"/>
        <v>0.1</v>
      </c>
      <c r="O27" s="15">
        <f t="shared" si="7"/>
        <v>63902.509147631987</v>
      </c>
      <c r="P27" s="8">
        <f t="shared" si="8"/>
        <v>321.11813642026391</v>
      </c>
      <c r="Q27" s="16">
        <f t="shared" si="9"/>
        <v>66150.336102573827</v>
      </c>
    </row>
    <row r="28" spans="2:17" ht="17.100000000000001" customHeight="1" x14ac:dyDescent="0.3">
      <c r="B28" s="7" t="s">
        <v>29</v>
      </c>
      <c r="C28" s="7" t="s">
        <v>39</v>
      </c>
      <c r="D28" s="8">
        <f>$C$11+450</f>
        <v>64450</v>
      </c>
      <c r="E28" s="9">
        <v>19</v>
      </c>
      <c r="F28" s="10">
        <f t="shared" si="0"/>
        <v>3.4445306439100077E-3</v>
      </c>
      <c r="G28" s="11">
        <f t="shared" si="1"/>
        <v>11.1</v>
      </c>
      <c r="H28" s="10">
        <f t="shared" si="10"/>
        <v>2.6333303236874783E-2</v>
      </c>
      <c r="I28" s="12">
        <f t="shared" si="11"/>
        <v>84.6</v>
      </c>
      <c r="J28" s="13">
        <f t="shared" si="2"/>
        <v>64253.237992211922</v>
      </c>
      <c r="K28" s="12">
        <f t="shared" si="3"/>
        <v>9910.2186063834197</v>
      </c>
      <c r="L28" s="8">
        <f t="shared" si="4"/>
        <v>441791.54970122309</v>
      </c>
      <c r="M28" s="14">
        <f t="shared" si="5"/>
        <v>5.8547951854340274</v>
      </c>
      <c r="N28" s="14">
        <f t="shared" si="6"/>
        <v>0.1</v>
      </c>
      <c r="O28" s="15">
        <f t="shared" si="7"/>
        <v>63931.97180225086</v>
      </c>
      <c r="P28" s="8">
        <f t="shared" si="8"/>
        <v>321.26618996106117</v>
      </c>
      <c r="Q28" s="16">
        <f t="shared" si="9"/>
        <v>66180.835131978281</v>
      </c>
    </row>
    <row r="29" spans="2:17" ht="17.100000000000001" customHeight="1" x14ac:dyDescent="0.3">
      <c r="B29" s="7" t="s">
        <v>29</v>
      </c>
      <c r="C29" s="7" t="s">
        <v>40</v>
      </c>
      <c r="D29" s="8">
        <f>$C$11+500</f>
        <v>64500</v>
      </c>
      <c r="E29" s="9">
        <v>20</v>
      </c>
      <c r="F29" s="10">
        <f t="shared" si="0"/>
        <v>3.6279069767441862E-3</v>
      </c>
      <c r="G29" s="11">
        <f t="shared" si="1"/>
        <v>11.7</v>
      </c>
      <c r="H29" s="10">
        <f t="shared" si="10"/>
        <v>2.9961210213618968E-2</v>
      </c>
      <c r="I29" s="12">
        <f t="shared" si="11"/>
        <v>96.3</v>
      </c>
      <c r="J29" s="13">
        <f t="shared" si="2"/>
        <v>64283.117613337607</v>
      </c>
      <c r="K29" s="12">
        <f t="shared" si="3"/>
        <v>9897.2019412215777</v>
      </c>
      <c r="L29" s="8">
        <f t="shared" si="4"/>
        <v>396067.66823032516</v>
      </c>
      <c r="M29" s="14">
        <f t="shared" si="5"/>
        <v>5.1405840035709325</v>
      </c>
      <c r="N29" s="14">
        <f t="shared" si="6"/>
        <v>0.1</v>
      </c>
      <c r="O29" s="15">
        <f t="shared" si="7"/>
        <v>63961.702025270919</v>
      </c>
      <c r="P29" s="8">
        <f t="shared" si="8"/>
        <v>321.41558806668763</v>
      </c>
      <c r="Q29" s="16">
        <f t="shared" si="9"/>
        <v>66211.61114173774</v>
      </c>
    </row>
    <row r="30" spans="2:17" ht="17.100000000000001" customHeight="1" x14ac:dyDescent="0.3">
      <c r="B30" s="7" t="s">
        <v>29</v>
      </c>
      <c r="C30" s="7" t="s">
        <v>41</v>
      </c>
      <c r="D30" s="8">
        <f>$C$11+550</f>
        <v>64550</v>
      </c>
      <c r="E30" s="9">
        <v>21</v>
      </c>
      <c r="F30" s="10">
        <f t="shared" si="0"/>
        <v>3.8109992254066615E-3</v>
      </c>
      <c r="G30" s="11">
        <f t="shared" si="1"/>
        <v>12.3</v>
      </c>
      <c r="H30" s="10">
        <f t="shared" si="10"/>
        <v>3.3772209439025633E-2</v>
      </c>
      <c r="I30" s="12">
        <f t="shared" si="11"/>
        <v>108.6</v>
      </c>
      <c r="J30" s="13">
        <f t="shared" si="2"/>
        <v>64313.233752783002</v>
      </c>
      <c r="K30" s="12">
        <f t="shared" si="3"/>
        <v>9883.4038807108955</v>
      </c>
      <c r="L30" s="8">
        <f t="shared" si="4"/>
        <v>358621.5704346018</v>
      </c>
      <c r="M30" s="14">
        <f t="shared" si="5"/>
        <v>4.5557175900015769</v>
      </c>
      <c r="N30" s="14">
        <f t="shared" si="6"/>
        <v>0.1</v>
      </c>
      <c r="O30" s="15">
        <f t="shared" si="7"/>
        <v>63991.667584019087</v>
      </c>
      <c r="P30" s="8">
        <f t="shared" si="8"/>
        <v>321.5661687639149</v>
      </c>
      <c r="Q30" s="16">
        <f t="shared" si="9"/>
        <v>66242.630765366499</v>
      </c>
    </row>
    <row r="31" spans="2:17" ht="17.100000000000001" customHeight="1" x14ac:dyDescent="0.3">
      <c r="B31" s="7" t="s">
        <v>29</v>
      </c>
      <c r="C31" s="7" t="s">
        <v>42</v>
      </c>
      <c r="D31" s="8">
        <f>$C$11+600</f>
        <v>64600</v>
      </c>
      <c r="E31" s="9">
        <v>22</v>
      </c>
      <c r="F31" s="10">
        <f t="shared" si="0"/>
        <v>3.9628482972136224E-3</v>
      </c>
      <c r="G31" s="11">
        <f t="shared" si="1"/>
        <v>12.8</v>
      </c>
      <c r="H31" s="10">
        <f t="shared" si="10"/>
        <v>3.7735057736239253E-2</v>
      </c>
      <c r="I31" s="12">
        <f t="shared" si="11"/>
        <v>121.39999999999999</v>
      </c>
      <c r="J31" s="13">
        <f t="shared" si="2"/>
        <v>64343.349279369068</v>
      </c>
      <c r="K31" s="12">
        <f t="shared" si="3"/>
        <v>9868.9152702389456</v>
      </c>
      <c r="L31" s="8">
        <f t="shared" si="4"/>
        <v>327710.35466981359</v>
      </c>
      <c r="M31" s="14">
        <f t="shared" si="5"/>
        <v>4.0729157069630588</v>
      </c>
      <c r="N31" s="14">
        <f t="shared" si="6"/>
        <v>0.1</v>
      </c>
      <c r="O31" s="15">
        <f t="shared" si="7"/>
        <v>64021.632532972224</v>
      </c>
      <c r="P31" s="8">
        <f t="shared" si="8"/>
        <v>321.71674639684352</v>
      </c>
      <c r="Q31" s="16">
        <f t="shared" si="9"/>
        <v>66273.649757750143</v>
      </c>
    </row>
    <row r="32" spans="2:17" ht="17.100000000000001" customHeight="1" x14ac:dyDescent="0.3">
      <c r="B32" s="7" t="s">
        <v>29</v>
      </c>
      <c r="C32" s="7" t="s">
        <v>43</v>
      </c>
      <c r="D32" s="8">
        <f>$C$11+650</f>
        <v>64650</v>
      </c>
      <c r="E32" s="9">
        <v>23</v>
      </c>
      <c r="F32" s="10">
        <f t="shared" si="0"/>
        <v>4.145398298530549E-3</v>
      </c>
      <c r="G32" s="11">
        <f t="shared" si="1"/>
        <v>13.4</v>
      </c>
      <c r="H32" s="10">
        <f t="shared" si="10"/>
        <v>4.1880456034769802E-2</v>
      </c>
      <c r="I32" s="12">
        <f t="shared" si="11"/>
        <v>134.79999999999998</v>
      </c>
      <c r="J32" s="13">
        <f t="shared" si="2"/>
        <v>64373.70208580677</v>
      </c>
      <c r="K32" s="12">
        <f t="shared" si="3"/>
        <v>9853.6285173521319</v>
      </c>
      <c r="L32" s="8">
        <f t="shared" si="4"/>
        <v>301640.3596562451</v>
      </c>
      <c r="M32" s="14">
        <f t="shared" si="5"/>
        <v>3.6657441555490347</v>
      </c>
      <c r="N32" s="14">
        <f t="shared" si="6"/>
        <v>0.1</v>
      </c>
      <c r="O32" s="15">
        <f t="shared" si="7"/>
        <v>64051.833575377736</v>
      </c>
      <c r="P32" s="8">
        <f t="shared" si="8"/>
        <v>321.86851042903436</v>
      </c>
      <c r="Q32" s="16">
        <f t="shared" si="9"/>
        <v>66304.913148380976</v>
      </c>
    </row>
    <row r="33" spans="2:17" ht="17.100000000000001" customHeight="1" x14ac:dyDescent="0.3">
      <c r="B33" s="7" t="s">
        <v>29</v>
      </c>
      <c r="C33" s="7" t="s">
        <v>44</v>
      </c>
      <c r="D33" s="8">
        <f>$C$11+700</f>
        <v>64700</v>
      </c>
      <c r="E33" s="9">
        <v>24</v>
      </c>
      <c r="F33" s="10">
        <f t="shared" si="0"/>
        <v>4.3276661514683153E-3</v>
      </c>
      <c r="G33" s="11">
        <f t="shared" si="1"/>
        <v>14</v>
      </c>
      <c r="H33" s="10">
        <f t="shared" si="10"/>
        <v>4.6208122186238119E-2</v>
      </c>
      <c r="I33" s="12">
        <f t="shared" si="11"/>
        <v>148.79999999999998</v>
      </c>
      <c r="J33" s="13">
        <f t="shared" si="2"/>
        <v>64404.261830971423</v>
      </c>
      <c r="K33" s="12">
        <f t="shared" si="3"/>
        <v>9837.5344945503948</v>
      </c>
      <c r="L33" s="8">
        <f t="shared" si="4"/>
        <v>279419.33528549637</v>
      </c>
      <c r="M33" s="14">
        <f t="shared" si="5"/>
        <v>3.3186914263600675</v>
      </c>
      <c r="N33" s="14">
        <f t="shared" si="6"/>
        <v>0.1</v>
      </c>
      <c r="O33" s="15">
        <f t="shared" si="7"/>
        <v>64082.240521816566</v>
      </c>
      <c r="P33" s="8">
        <f t="shared" si="8"/>
        <v>322.02130915485759</v>
      </c>
      <c r="Q33" s="16">
        <f t="shared" si="9"/>
        <v>66336.389685900562</v>
      </c>
    </row>
    <row r="34" spans="2:17" ht="17.100000000000001" customHeight="1" x14ac:dyDescent="0.3">
      <c r="B34" s="7" t="s">
        <v>29</v>
      </c>
      <c r="C34" s="7" t="s">
        <v>45</v>
      </c>
      <c r="D34" s="8">
        <f>$C$11+750</f>
        <v>64750</v>
      </c>
      <c r="E34" s="9">
        <v>25</v>
      </c>
      <c r="F34" s="10">
        <f t="shared" si="0"/>
        <v>4.5096525096525097E-3</v>
      </c>
      <c r="G34" s="11">
        <f t="shared" si="1"/>
        <v>14.6</v>
      </c>
      <c r="H34" s="10">
        <f t="shared" si="10"/>
        <v>5.071777469589063E-2</v>
      </c>
      <c r="I34" s="12">
        <f t="shared" si="11"/>
        <v>163.39999999999998</v>
      </c>
      <c r="J34" s="13">
        <f t="shared" si="2"/>
        <v>64435.003696342908</v>
      </c>
      <c r="K34" s="12">
        <f t="shared" si="3"/>
        <v>9820.6240884410818</v>
      </c>
      <c r="L34" s="8">
        <f t="shared" si="4"/>
        <v>260303.02253818969</v>
      </c>
      <c r="M34" s="14">
        <f t="shared" si="5"/>
        <v>3.0201239002037017</v>
      </c>
      <c r="N34" s="14">
        <f t="shared" si="6"/>
        <v>0.1</v>
      </c>
      <c r="O34" s="15">
        <f t="shared" si="7"/>
        <v>64112.828677861195</v>
      </c>
      <c r="P34" s="8">
        <f t="shared" si="8"/>
        <v>322.17501848171378</v>
      </c>
      <c r="Q34" s="16">
        <f t="shared" si="9"/>
        <v>66368.053807233198</v>
      </c>
    </row>
    <row r="35" spans="2:17" ht="17.100000000000001" customHeight="1" x14ac:dyDescent="0.3">
      <c r="B35" s="7" t="s">
        <v>29</v>
      </c>
      <c r="C35" s="7" t="s">
        <v>46</v>
      </c>
      <c r="D35" s="8">
        <f>$C$11+800</f>
        <v>64800</v>
      </c>
      <c r="E35" s="9">
        <v>26</v>
      </c>
      <c r="F35" s="10">
        <f t="shared" si="0"/>
        <v>4.691358024691358E-3</v>
      </c>
      <c r="G35" s="11">
        <f t="shared" si="1"/>
        <v>15.2</v>
      </c>
      <c r="H35" s="10">
        <f t="shared" si="10"/>
        <v>5.540913272058199E-2</v>
      </c>
      <c r="I35" s="12">
        <f t="shared" si="11"/>
        <v>178.59999999999997</v>
      </c>
      <c r="J35" s="13">
        <f t="shared" si="2"/>
        <v>64465.907055664175</v>
      </c>
      <c r="K35" s="12">
        <f t="shared" si="3"/>
        <v>9802.8881997062854</v>
      </c>
      <c r="L35" s="8">
        <f t="shared" si="4"/>
        <v>243722.95592571143</v>
      </c>
      <c r="M35" s="14">
        <f t="shared" si="5"/>
        <v>2.761156727248633</v>
      </c>
      <c r="N35" s="14">
        <f t="shared" si="6"/>
        <v>0.1</v>
      </c>
      <c r="O35" s="15">
        <f t="shared" si="7"/>
        <v>64143.57752038585</v>
      </c>
      <c r="P35" s="8">
        <f t="shared" si="8"/>
        <v>322.32953527832433</v>
      </c>
      <c r="Q35" s="16">
        <f t="shared" si="9"/>
        <v>66399.884267334099</v>
      </c>
    </row>
    <row r="36" spans="2:17" ht="17.100000000000001" customHeight="1" x14ac:dyDescent="0.3">
      <c r="B36" s="7" t="s">
        <v>29</v>
      </c>
      <c r="C36" s="7" t="s">
        <v>47</v>
      </c>
      <c r="D36" s="8">
        <f>$C$11+850</f>
        <v>64850</v>
      </c>
      <c r="E36" s="9">
        <v>27</v>
      </c>
      <c r="F36" s="10">
        <f t="shared" si="0"/>
        <v>4.8727833461835006E-3</v>
      </c>
      <c r="G36" s="11">
        <f t="shared" si="1"/>
        <v>15.8</v>
      </c>
      <c r="H36" s="10">
        <f t="shared" si="10"/>
        <v>6.0281916066765487E-2</v>
      </c>
      <c r="I36" s="12">
        <f t="shared" si="11"/>
        <v>194.39999999999998</v>
      </c>
      <c r="J36" s="13">
        <f t="shared" si="2"/>
        <v>64496.954537639926</v>
      </c>
      <c r="K36" s="12">
        <f t="shared" si="3"/>
        <v>9784.3177430702581</v>
      </c>
      <c r="L36" s="8">
        <f t="shared" si="4"/>
        <v>229237.99332011331</v>
      </c>
      <c r="M36" s="14">
        <f t="shared" si="5"/>
        <v>2.5348958106416855</v>
      </c>
      <c r="N36" s="14">
        <f t="shared" si="6"/>
        <v>0.1</v>
      </c>
      <c r="O36" s="15">
        <f t="shared" si="7"/>
        <v>64174.469764951726</v>
      </c>
      <c r="P36" s="8">
        <f t="shared" si="8"/>
        <v>322.48477268819988</v>
      </c>
      <c r="Q36" s="16">
        <f t="shared" si="9"/>
        <v>66431.863173769132</v>
      </c>
    </row>
    <row r="37" spans="2:17" ht="17.100000000000001" customHeight="1" x14ac:dyDescent="0.3">
      <c r="B37" s="7" t="s">
        <v>29</v>
      </c>
      <c r="C37" s="7" t="s">
        <v>48</v>
      </c>
      <c r="D37" s="8">
        <f>$C$11+900</f>
        <v>64900</v>
      </c>
      <c r="E37" s="9">
        <v>28</v>
      </c>
      <c r="F37" s="10">
        <f t="shared" si="0"/>
        <v>5.0231124807395998E-3</v>
      </c>
      <c r="G37" s="11">
        <f t="shared" si="1"/>
        <v>16.3</v>
      </c>
      <c r="H37" s="10">
        <f t="shared" si="10"/>
        <v>6.5305028547505084E-2</v>
      </c>
      <c r="I37" s="12">
        <f t="shared" si="11"/>
        <v>210.7</v>
      </c>
      <c r="J37" s="13">
        <f t="shared" si="2"/>
        <v>64527.955866899196</v>
      </c>
      <c r="K37" s="12">
        <f t="shared" si="3"/>
        <v>9765.0036472669199</v>
      </c>
      <c r="L37" s="8">
        <f t="shared" si="4"/>
        <v>216572.65752209647</v>
      </c>
      <c r="M37" s="14">
        <f t="shared" si="5"/>
        <v>2.3370209171355389</v>
      </c>
      <c r="N37" s="14">
        <f t="shared" si="6"/>
        <v>0.1</v>
      </c>
      <c r="O37" s="15">
        <f t="shared" si="7"/>
        <v>64205.316087564701</v>
      </c>
      <c r="P37" s="8">
        <f t="shared" si="8"/>
        <v>322.63977933449496</v>
      </c>
      <c r="Q37" s="16">
        <f t="shared" si="9"/>
        <v>66463.79454290618</v>
      </c>
    </row>
    <row r="38" spans="2:17" ht="17.100000000000001" customHeight="1" x14ac:dyDescent="0.3">
      <c r="B38" s="7" t="s">
        <v>29</v>
      </c>
      <c r="C38" s="7" t="s">
        <v>49</v>
      </c>
      <c r="D38" s="8">
        <f>$C$11+950</f>
        <v>64950</v>
      </c>
      <c r="E38" s="9">
        <v>29</v>
      </c>
      <c r="F38" s="10">
        <f t="shared" si="0"/>
        <v>5.2040030792917628E-3</v>
      </c>
      <c r="G38" s="11">
        <f t="shared" si="1"/>
        <v>16.899999999999999</v>
      </c>
      <c r="H38" s="10">
        <f t="shared" si="10"/>
        <v>7.050903162679685E-2</v>
      </c>
      <c r="I38" s="12">
        <f t="shared" si="11"/>
        <v>227.6</v>
      </c>
      <c r="J38" s="13">
        <f t="shared" si="2"/>
        <v>64559.105336939836</v>
      </c>
      <c r="K38" s="12">
        <f t="shared" si="3"/>
        <v>9744.8383958395443</v>
      </c>
      <c r="L38" s="8">
        <f t="shared" si="4"/>
        <v>205358.11733580529</v>
      </c>
      <c r="M38" s="14">
        <f t="shared" si="5"/>
        <v>2.1617877957783724</v>
      </c>
      <c r="N38" s="14">
        <f t="shared" si="6"/>
        <v>0.1</v>
      </c>
      <c r="O38" s="15">
        <f t="shared" si="7"/>
        <v>64236.309810255138</v>
      </c>
      <c r="P38" s="8">
        <f t="shared" si="8"/>
        <v>322.79552668469842</v>
      </c>
      <c r="Q38" s="16">
        <f t="shared" si="9"/>
        <v>66495.878497048034</v>
      </c>
    </row>
    <row r="39" spans="2:17" ht="17.100000000000001" customHeight="1" x14ac:dyDescent="0.3">
      <c r="B39" s="7" t="s">
        <v>50</v>
      </c>
      <c r="C39" s="7" t="s">
        <v>30</v>
      </c>
      <c r="D39" s="8">
        <f>$C$11+1000</f>
        <v>65000</v>
      </c>
      <c r="E39" s="9">
        <v>30</v>
      </c>
      <c r="F39" s="10">
        <f t="shared" si="0"/>
        <v>5.3846153846153844E-3</v>
      </c>
      <c r="G39" s="11">
        <f t="shared" si="1"/>
        <v>17.5</v>
      </c>
      <c r="H39" s="10">
        <f t="shared" si="10"/>
        <v>7.5893647011412241E-2</v>
      </c>
      <c r="I39" s="12">
        <f t="shared" si="11"/>
        <v>245.1</v>
      </c>
      <c r="J39" s="13">
        <f t="shared" si="2"/>
        <v>64590.386587468631</v>
      </c>
      <c r="K39" s="12">
        <f t="shared" si="3"/>
        <v>9723.8129442582031</v>
      </c>
      <c r="L39" s="8">
        <f t="shared" si="4"/>
        <v>195376.83693455564</v>
      </c>
      <c r="M39" s="14">
        <f t="shared" si="5"/>
        <v>2.0057974913008558</v>
      </c>
      <c r="N39" s="14">
        <f t="shared" si="6"/>
        <v>0.1</v>
      </c>
      <c r="O39" s="15">
        <f t="shared" si="7"/>
        <v>64267.434654531287</v>
      </c>
      <c r="P39" s="8">
        <f t="shared" si="8"/>
        <v>322.95193293734337</v>
      </c>
      <c r="Q39" s="16">
        <f t="shared" si="9"/>
        <v>66528.098185092691</v>
      </c>
    </row>
    <row r="40" spans="2:17" ht="17.100000000000001" customHeight="1" x14ac:dyDescent="0.3">
      <c r="B40" s="7" t="s">
        <v>50</v>
      </c>
      <c r="C40" s="7" t="s">
        <v>31</v>
      </c>
      <c r="D40" s="8">
        <f>$C$11+1050</f>
        <v>65050</v>
      </c>
      <c r="E40" s="9">
        <v>32</v>
      </c>
      <c r="F40" s="10">
        <f t="shared" si="0"/>
        <v>5.7494235203689468E-3</v>
      </c>
      <c r="G40" s="11">
        <f t="shared" si="1"/>
        <v>18.7</v>
      </c>
      <c r="H40" s="10">
        <f t="shared" si="10"/>
        <v>8.1643070531781187E-2</v>
      </c>
      <c r="I40" s="12">
        <f t="shared" si="11"/>
        <v>263.8</v>
      </c>
      <c r="J40" s="13">
        <f t="shared" si="2"/>
        <v>64622.753231043804</v>
      </c>
      <c r="K40" s="12">
        <f t="shared" si="3"/>
        <v>9701.3182619076342</v>
      </c>
      <c r="L40" s="8">
        <f t="shared" si="4"/>
        <v>186176.2413024765</v>
      </c>
      <c r="M40" s="14">
        <f t="shared" si="5"/>
        <v>1.8620482905838047</v>
      </c>
      <c r="N40" s="14">
        <f t="shared" si="6"/>
        <v>0.1</v>
      </c>
      <c r="O40" s="15">
        <f t="shared" si="7"/>
        <v>64299.639464888583</v>
      </c>
      <c r="P40" s="8">
        <f t="shared" si="8"/>
        <v>323.11376615522022</v>
      </c>
      <c r="Q40" s="16">
        <f t="shared" si="9"/>
        <v>66561.435827975118</v>
      </c>
    </row>
    <row r="41" spans="2:17" ht="17.100000000000001" customHeight="1" x14ac:dyDescent="0.3">
      <c r="B41" s="7" t="s">
        <v>50</v>
      </c>
      <c r="C41" s="7" t="s">
        <v>32</v>
      </c>
      <c r="D41" s="8">
        <f>$C$11+1100</f>
        <v>65100</v>
      </c>
      <c r="E41" s="9">
        <v>34</v>
      </c>
      <c r="F41" s="10">
        <f t="shared" si="0"/>
        <v>6.0829493087557604E-3</v>
      </c>
      <c r="G41" s="11">
        <f t="shared" si="1"/>
        <v>19.8</v>
      </c>
      <c r="H41" s="10">
        <f t="shared" si="10"/>
        <v>8.7726019840536948E-2</v>
      </c>
      <c r="I41" s="12">
        <f t="shared" si="11"/>
        <v>283.60000000000002</v>
      </c>
      <c r="J41" s="13">
        <f t="shared" si="2"/>
        <v>64655.845669394534</v>
      </c>
      <c r="K41" s="12">
        <f t="shared" si="3"/>
        <v>9677.4361083810436</v>
      </c>
      <c r="L41" s="8">
        <f t="shared" si="4"/>
        <v>177758.31935715486</v>
      </c>
      <c r="M41" s="14">
        <f t="shared" si="5"/>
        <v>1.7305425400484618</v>
      </c>
      <c r="N41" s="14">
        <f t="shared" si="6"/>
        <v>0.1</v>
      </c>
      <c r="O41" s="15">
        <f t="shared" si="7"/>
        <v>64332.566441047558</v>
      </c>
      <c r="P41" s="8">
        <f t="shared" si="8"/>
        <v>323.27922834697529</v>
      </c>
      <c r="Q41" s="16">
        <f t="shared" si="9"/>
        <v>66595.521039476371</v>
      </c>
    </row>
    <row r="42" spans="2:17" ht="17.100000000000001" customHeight="1" x14ac:dyDescent="0.3">
      <c r="B42" s="7" t="s">
        <v>50</v>
      </c>
      <c r="C42" s="7" t="s">
        <v>33</v>
      </c>
      <c r="D42" s="8">
        <f>$C$11+1150</f>
        <v>65150</v>
      </c>
      <c r="E42" s="9">
        <v>36</v>
      </c>
      <c r="F42" s="10">
        <f t="shared" si="0"/>
        <v>6.4466615502686113E-3</v>
      </c>
      <c r="G42" s="11">
        <f t="shared" si="1"/>
        <v>21</v>
      </c>
      <c r="H42" s="10">
        <f t="shared" si="10"/>
        <v>9.4172681390805563E-2</v>
      </c>
      <c r="I42" s="12">
        <f t="shared" si="11"/>
        <v>304.60000000000002</v>
      </c>
      <c r="J42" s="13">
        <f t="shared" si="2"/>
        <v>64689.673374796621</v>
      </c>
      <c r="K42" s="12">
        <f t="shared" si="3"/>
        <v>9652.0498073890176</v>
      </c>
      <c r="L42" s="8">
        <f t="shared" si="4"/>
        <v>170027.44386198153</v>
      </c>
      <c r="M42" s="14">
        <f t="shared" si="5"/>
        <v>1.6097842496083121</v>
      </c>
      <c r="N42" s="14">
        <f t="shared" si="6"/>
        <v>0.1</v>
      </c>
      <c r="O42" s="15">
        <f t="shared" si="7"/>
        <v>64366.225007922636</v>
      </c>
      <c r="P42" s="8">
        <f t="shared" si="8"/>
        <v>323.44836687398492</v>
      </c>
      <c r="Q42" s="16">
        <f t="shared" si="9"/>
        <v>66630.363576040516</v>
      </c>
    </row>
    <row r="43" spans="2:17" ht="17.100000000000001" customHeight="1" x14ac:dyDescent="0.3">
      <c r="B43" s="7" t="s">
        <v>50</v>
      </c>
      <c r="C43" s="7" t="s">
        <v>34</v>
      </c>
      <c r="D43" s="8">
        <f>$C$11+1200</f>
        <v>65200</v>
      </c>
      <c r="E43" s="9">
        <v>38</v>
      </c>
      <c r="F43" s="10">
        <f t="shared" si="0"/>
        <v>6.8098159509202456E-3</v>
      </c>
      <c r="G43" s="11">
        <f t="shared" si="1"/>
        <v>22.2</v>
      </c>
      <c r="H43" s="10">
        <f t="shared" si="10"/>
        <v>0.1009824973417258</v>
      </c>
      <c r="I43" s="12">
        <f t="shared" si="11"/>
        <v>326.8</v>
      </c>
      <c r="J43" s="13">
        <f t="shared" si="2"/>
        <v>64724.087560264124</v>
      </c>
      <c r="K43" s="12">
        <f t="shared" si="3"/>
        <v>9625.1411733194782</v>
      </c>
      <c r="L43" s="8">
        <f t="shared" si="4"/>
        <v>162936.46697609377</v>
      </c>
      <c r="M43" s="14">
        <f t="shared" si="5"/>
        <v>1.4990255671180026</v>
      </c>
      <c r="N43" s="14">
        <f t="shared" si="6"/>
        <v>0.1</v>
      </c>
      <c r="O43" s="15">
        <f t="shared" si="7"/>
        <v>64400.467122462804</v>
      </c>
      <c r="P43" s="8">
        <f t="shared" si="8"/>
        <v>323.6204378013208</v>
      </c>
      <c r="Q43" s="16">
        <f t="shared" si="9"/>
        <v>66665.810187072057</v>
      </c>
    </row>
    <row r="44" spans="2:17" ht="17.100000000000001" customHeight="1" x14ac:dyDescent="0.3">
      <c r="B44" s="7" t="s">
        <v>50</v>
      </c>
      <c r="C44" s="7" t="s">
        <v>35</v>
      </c>
      <c r="D44" s="8">
        <f>$C$11+1250</f>
        <v>65250</v>
      </c>
      <c r="E44" s="9">
        <v>40</v>
      </c>
      <c r="F44" s="10">
        <f t="shared" si="0"/>
        <v>7.1724137931034482E-3</v>
      </c>
      <c r="G44" s="11">
        <f t="shared" si="1"/>
        <v>23.4</v>
      </c>
      <c r="H44" s="10">
        <f t="shared" si="10"/>
        <v>0.10815491113482925</v>
      </c>
      <c r="I44" s="12">
        <f t="shared" si="11"/>
        <v>350.2</v>
      </c>
      <c r="J44" s="13">
        <f t="shared" si="2"/>
        <v>64758.96403140304</v>
      </c>
      <c r="K44" s="12">
        <f t="shared" si="3"/>
        <v>9596.6920484523907</v>
      </c>
      <c r="L44" s="8">
        <f t="shared" si="4"/>
        <v>156436.75176231598</v>
      </c>
      <c r="M44" s="14">
        <f t="shared" si="5"/>
        <v>1.3974981112998617</v>
      </c>
      <c r="N44" s="14">
        <f t="shared" si="6"/>
        <v>0.1</v>
      </c>
      <c r="O44" s="15">
        <f t="shared" si="7"/>
        <v>64435.169211246022</v>
      </c>
      <c r="P44" s="8">
        <f t="shared" si="8"/>
        <v>323.79482015701797</v>
      </c>
      <c r="Q44" s="16">
        <f t="shared" si="9"/>
        <v>66701.732952345134</v>
      </c>
    </row>
    <row r="45" spans="2:17" ht="17.100000000000001" customHeight="1" x14ac:dyDescent="0.3">
      <c r="B45" s="7" t="s">
        <v>50</v>
      </c>
      <c r="C45" s="7" t="s">
        <v>36</v>
      </c>
      <c r="D45" s="8">
        <f>$C$11+1300</f>
        <v>65300</v>
      </c>
      <c r="E45" s="9">
        <v>42</v>
      </c>
      <c r="F45" s="10">
        <f t="shared" si="0"/>
        <v>7.5038284839203679E-3</v>
      </c>
      <c r="G45" s="11">
        <f t="shared" si="1"/>
        <v>24.5</v>
      </c>
      <c r="H45" s="10">
        <f t="shared" si="10"/>
        <v>0.11565873961874962</v>
      </c>
      <c r="I45" s="12">
        <f t="shared" si="11"/>
        <v>374.7</v>
      </c>
      <c r="J45" s="13">
        <f t="shared" si="2"/>
        <v>64794.065927942516</v>
      </c>
      <c r="K45" s="12">
        <f t="shared" si="3"/>
        <v>9566.7843028956486</v>
      </c>
      <c r="L45" s="8">
        <f t="shared" si="4"/>
        <v>150502.80879342632</v>
      </c>
      <c r="M45" s="14">
        <f t="shared" si="5"/>
        <v>1.3047903337431288</v>
      </c>
      <c r="N45" s="14">
        <f t="shared" si="6"/>
        <v>0.1</v>
      </c>
      <c r="O45" s="15">
        <f t="shared" si="7"/>
        <v>64470.095598302803</v>
      </c>
      <c r="P45" s="8">
        <f t="shared" si="8"/>
        <v>323.97032963971287</v>
      </c>
      <c r="Q45" s="16">
        <f t="shared" si="9"/>
        <v>66737.887905780794</v>
      </c>
    </row>
    <row r="46" spans="2:17" ht="17.100000000000001" customHeight="1" x14ac:dyDescent="0.3">
      <c r="B46" s="7" t="s">
        <v>50</v>
      </c>
      <c r="C46" s="7" t="s">
        <v>37</v>
      </c>
      <c r="D46" s="8">
        <f>$C$11+1350</f>
        <v>65350</v>
      </c>
      <c r="E46" s="9">
        <v>44</v>
      </c>
      <c r="F46" s="10">
        <f t="shared" si="0"/>
        <v>7.865340474368784E-3</v>
      </c>
      <c r="G46" s="11">
        <f t="shared" si="1"/>
        <v>25.7</v>
      </c>
      <c r="H46" s="10">
        <f t="shared" si="10"/>
        <v>0.1235240800931184</v>
      </c>
      <c r="I46" s="12">
        <f t="shared" si="11"/>
        <v>400.4</v>
      </c>
      <c r="J46" s="13">
        <f t="shared" si="2"/>
        <v>64829.464780981849</v>
      </c>
      <c r="K46" s="12">
        <f t="shared" si="3"/>
        <v>9535.3013659147127</v>
      </c>
      <c r="L46" s="8">
        <f t="shared" si="4"/>
        <v>145060.0396836896</v>
      </c>
      <c r="M46" s="14">
        <f t="shared" si="5"/>
        <v>1.2197404695285325</v>
      </c>
      <c r="N46" s="14">
        <f t="shared" si="6"/>
        <v>0.1</v>
      </c>
      <c r="O46" s="15">
        <f t="shared" si="7"/>
        <v>64505.317457076941</v>
      </c>
      <c r="P46" s="8">
        <f t="shared" si="8"/>
        <v>324.14732390490826</v>
      </c>
      <c r="Q46" s="16">
        <f t="shared" si="9"/>
        <v>66774.348724411306</v>
      </c>
    </row>
    <row r="47" spans="2:17" ht="17.100000000000001" customHeight="1" x14ac:dyDescent="0.3">
      <c r="B47" s="7" t="s">
        <v>50</v>
      </c>
      <c r="C47" s="7" t="s">
        <v>38</v>
      </c>
      <c r="D47" s="8">
        <f>$C$11+1400</f>
        <v>65400</v>
      </c>
      <c r="E47" s="9">
        <v>46</v>
      </c>
      <c r="F47" s="10">
        <f t="shared" si="0"/>
        <v>8.2262996941896028E-3</v>
      </c>
      <c r="G47" s="11">
        <f t="shared" si="1"/>
        <v>26.9</v>
      </c>
      <c r="H47" s="10">
        <f t="shared" si="10"/>
        <v>0.131750379787308</v>
      </c>
      <c r="I47" s="12">
        <f t="shared" si="11"/>
        <v>427.29999999999995</v>
      </c>
      <c r="J47" s="13">
        <f t="shared" si="2"/>
        <v>64865.08815986933</v>
      </c>
      <c r="K47" s="12">
        <f t="shared" si="3"/>
        <v>9502.2251619100571</v>
      </c>
      <c r="L47" s="8">
        <f t="shared" si="4"/>
        <v>140065.86829635312</v>
      </c>
      <c r="M47" s="14">
        <f t="shared" si="5"/>
        <v>1.1416799433693137</v>
      </c>
      <c r="N47" s="14">
        <f t="shared" si="6"/>
        <v>0.1</v>
      </c>
      <c r="O47" s="15">
        <f t="shared" si="7"/>
        <v>64540.762719069986</v>
      </c>
      <c r="P47" s="8">
        <f t="shared" si="8"/>
        <v>324.32544079934451</v>
      </c>
      <c r="Q47" s="16">
        <f t="shared" si="9"/>
        <v>66811.040804665419</v>
      </c>
    </row>
    <row r="48" spans="2:17" ht="17.100000000000001" customHeight="1" x14ac:dyDescent="0.3">
      <c r="B48" s="7" t="s">
        <v>50</v>
      </c>
      <c r="C48" s="7" t="s">
        <v>39</v>
      </c>
      <c r="D48" s="8">
        <f>$C$11+1450</f>
        <v>65450</v>
      </c>
      <c r="E48" s="9">
        <v>48</v>
      </c>
      <c r="F48" s="10">
        <f t="shared" si="0"/>
        <v>8.5561497326203211E-3</v>
      </c>
      <c r="G48" s="11">
        <f t="shared" si="1"/>
        <v>28</v>
      </c>
      <c r="H48" s="10">
        <f t="shared" si="10"/>
        <v>0.14030652951992831</v>
      </c>
      <c r="I48" s="12">
        <f t="shared" si="11"/>
        <v>455.29999999999995</v>
      </c>
      <c r="J48" s="13">
        <f t="shared" si="2"/>
        <v>64900.757157610671</v>
      </c>
      <c r="K48" s="12">
        <f t="shared" si="3"/>
        <v>9467.6376429206939</v>
      </c>
      <c r="L48" s="8">
        <f t="shared" si="4"/>
        <v>135495.79865370158</v>
      </c>
      <c r="M48" s="14">
        <f t="shared" si="5"/>
        <v>1.0702184668250814</v>
      </c>
      <c r="N48" s="14">
        <f t="shared" si="6"/>
        <v>0.1</v>
      </c>
      <c r="O48" s="15">
        <f t="shared" si="7"/>
        <v>64576.253371822619</v>
      </c>
      <c r="P48" s="8">
        <f t="shared" si="8"/>
        <v>324.50378578805248</v>
      </c>
      <c r="Q48" s="16">
        <f t="shared" si="9"/>
        <v>66847.779872338986</v>
      </c>
    </row>
    <row r="49" spans="2:17" ht="17.100000000000001" customHeight="1" x14ac:dyDescent="0.3">
      <c r="B49" s="7" t="s">
        <v>50</v>
      </c>
      <c r="C49" s="7" t="s">
        <v>40</v>
      </c>
      <c r="D49" s="8">
        <f>$C$11+1500</f>
        <v>65500</v>
      </c>
      <c r="E49" s="9">
        <v>50</v>
      </c>
      <c r="F49" s="10">
        <f t="shared" si="0"/>
        <v>8.9160305343511451E-3</v>
      </c>
      <c r="G49" s="11">
        <f t="shared" si="1"/>
        <v>29.2</v>
      </c>
      <c r="H49" s="10">
        <f t="shared" si="10"/>
        <v>0.14922256005427945</v>
      </c>
      <c r="I49" s="12">
        <f t="shared" si="11"/>
        <v>484.49999999999994</v>
      </c>
      <c r="J49" s="13">
        <f t="shared" si="2"/>
        <v>64936.561847453078</v>
      </c>
      <c r="K49" s="12">
        <f t="shared" si="3"/>
        <v>9431.4223164446939</v>
      </c>
      <c r="L49" s="8">
        <f t="shared" si="4"/>
        <v>131294.08712642684</v>
      </c>
      <c r="M49" s="14">
        <f t="shared" si="5"/>
        <v>1.0044898797927762</v>
      </c>
      <c r="N49" s="14">
        <f t="shared" si="6"/>
        <v>0.1</v>
      </c>
      <c r="O49" s="15">
        <f t="shared" si="7"/>
        <v>64611.879038215811</v>
      </c>
      <c r="P49" s="8">
        <f t="shared" si="8"/>
        <v>324.68280923726707</v>
      </c>
      <c r="Q49" s="16">
        <f t="shared" si="9"/>
        <v>66884.658702876666</v>
      </c>
    </row>
    <row r="50" spans="2:17" ht="17.100000000000001" customHeight="1" x14ac:dyDescent="0.3">
      <c r="B50" s="7" t="s">
        <v>50</v>
      </c>
      <c r="C50" s="7" t="s">
        <v>41</v>
      </c>
      <c r="D50" s="8">
        <f>$C$11+1550</f>
        <v>65550</v>
      </c>
      <c r="E50" s="9">
        <v>52</v>
      </c>
      <c r="F50" s="10">
        <f t="shared" si="0"/>
        <v>9.2753623188405795E-3</v>
      </c>
      <c r="G50" s="11">
        <f t="shared" si="1"/>
        <v>30.4</v>
      </c>
      <c r="H50" s="10">
        <f t="shared" si="10"/>
        <v>0.15849792237312002</v>
      </c>
      <c r="I50" s="12">
        <f t="shared" si="11"/>
        <v>514.9</v>
      </c>
      <c r="J50" s="13">
        <f t="shared" si="2"/>
        <v>64972.460495459833</v>
      </c>
      <c r="K50" s="12">
        <f t="shared" si="3"/>
        <v>9393.5611884419832</v>
      </c>
      <c r="L50" s="8">
        <f t="shared" si="4"/>
        <v>127427.63200281789</v>
      </c>
      <c r="M50" s="14">
        <f t="shared" si="5"/>
        <v>0.9439760793717451</v>
      </c>
      <c r="N50" s="14">
        <f t="shared" si="6"/>
        <v>0.1</v>
      </c>
      <c r="O50" s="15">
        <f t="shared" si="7"/>
        <v>64647.598192982536</v>
      </c>
      <c r="P50" s="8">
        <f t="shared" si="8"/>
        <v>324.86230247729691</v>
      </c>
      <c r="Q50" s="16">
        <f t="shared" si="9"/>
        <v>66921.634310323629</v>
      </c>
    </row>
    <row r="51" spans="2:17" ht="17.100000000000001" customHeight="1" x14ac:dyDescent="0.3">
      <c r="B51" s="7" t="s">
        <v>50</v>
      </c>
      <c r="C51" s="7" t="s">
        <v>42</v>
      </c>
      <c r="D51" s="8">
        <f>$C$11+1600</f>
        <v>65600</v>
      </c>
      <c r="E51" s="9">
        <v>54</v>
      </c>
      <c r="F51" s="10">
        <f t="shared" ref="F51:F82" si="12">(G51*$C$13)/D51</f>
        <v>9.6036585365853657E-3</v>
      </c>
      <c r="G51" s="11">
        <f t="shared" ref="G51:G82" si="13">ROUND($C$12*E51/SUM($E$19:$E$118), 1)</f>
        <v>31.5</v>
      </c>
      <c r="H51" s="10">
        <f t="shared" si="10"/>
        <v>0.16810158090970539</v>
      </c>
      <c r="I51" s="12">
        <f t="shared" si="11"/>
        <v>546.4</v>
      </c>
      <c r="J51" s="13">
        <f t="shared" ref="J51:J82" si="14">I51*$C$13/H51</f>
        <v>65008.311884169016</v>
      </c>
      <c r="K51" s="12">
        <f t="shared" ref="K51:K82" si="15">$C$12-I51+H51*(J51-D51)</f>
        <v>9354.1362923233264</v>
      </c>
      <c r="L51" s="8">
        <f t="shared" ref="L51:L82" si="16">(J51*H51+$C$12)/(H51*(1+$C$14))</f>
        <v>123876.76834639843</v>
      </c>
      <c r="M51" s="14">
        <f t="shared" ref="M51:M82" si="17">(L51-D51)/D51</f>
        <v>0.88836537113412239</v>
      </c>
      <c r="N51" s="14">
        <f t="shared" ref="N51:N82" si="18">IF(OR(B51="1차",B51="2차"),0.1,IF(OR(B51="3차",B51="4차"),0.05,0.02))</f>
        <v>0.1</v>
      </c>
      <c r="O51" s="15">
        <f t="shared" ref="O51:O82" si="19">J51*(1-N51/$C$13)</f>
        <v>64683.27032474817</v>
      </c>
      <c r="P51" s="8">
        <f t="shared" ref="P51:P82" si="20">J51-O51</f>
        <v>325.04155942084617</v>
      </c>
      <c r="Q51" s="16">
        <f t="shared" ref="Q51:Q82" si="21">J51*(1+$C$15)</f>
        <v>66958.561240694093</v>
      </c>
    </row>
    <row r="52" spans="2:17" ht="17.100000000000001" customHeight="1" x14ac:dyDescent="0.3">
      <c r="B52" s="7" t="s">
        <v>50</v>
      </c>
      <c r="C52" s="7" t="s">
        <v>43</v>
      </c>
      <c r="D52" s="8">
        <f>$C$11+1650</f>
        <v>65650</v>
      </c>
      <c r="E52" s="9">
        <v>56</v>
      </c>
      <c r="F52" s="10">
        <f t="shared" si="12"/>
        <v>9.9619192688499628E-3</v>
      </c>
      <c r="G52" s="11">
        <f t="shared" si="13"/>
        <v>32.700000000000003</v>
      </c>
      <c r="H52" s="10">
        <f t="shared" ref="H52:H83" si="22">H51+F52</f>
        <v>0.17806350017855535</v>
      </c>
      <c r="I52" s="12">
        <f t="shared" ref="I52:I83" si="23">I51+G52</f>
        <v>579.1</v>
      </c>
      <c r="J52" s="13">
        <f t="shared" si="14"/>
        <v>65044.211690694654</v>
      </c>
      <c r="K52" s="12">
        <f t="shared" si="15"/>
        <v>9313.0312132778399</v>
      </c>
      <c r="L52" s="8">
        <f t="shared" si="16"/>
        <v>120600.94766270292</v>
      </c>
      <c r="M52" s="14">
        <f t="shared" si="17"/>
        <v>0.83702890575328137</v>
      </c>
      <c r="N52" s="14">
        <f t="shared" si="18"/>
        <v>0.1</v>
      </c>
      <c r="O52" s="15">
        <f t="shared" si="19"/>
        <v>64718.990632241177</v>
      </c>
      <c r="P52" s="8">
        <f t="shared" si="20"/>
        <v>325.22105845347687</v>
      </c>
      <c r="Q52" s="16">
        <f t="shared" si="21"/>
        <v>66995.538041415493</v>
      </c>
    </row>
    <row r="53" spans="2:17" ht="17.100000000000001" customHeight="1" x14ac:dyDescent="0.3">
      <c r="B53" s="7" t="s">
        <v>50</v>
      </c>
      <c r="C53" s="7" t="s">
        <v>44</v>
      </c>
      <c r="D53" s="8">
        <f>$C$11+1700</f>
        <v>65700</v>
      </c>
      <c r="E53" s="9">
        <v>58</v>
      </c>
      <c r="F53" s="10">
        <f t="shared" si="12"/>
        <v>1.0319634703196348E-2</v>
      </c>
      <c r="G53" s="11">
        <f t="shared" si="13"/>
        <v>33.9</v>
      </c>
      <c r="H53" s="10">
        <f t="shared" si="22"/>
        <v>0.18838313488175171</v>
      </c>
      <c r="I53" s="12">
        <f t="shared" si="23"/>
        <v>613</v>
      </c>
      <c r="J53" s="13">
        <f t="shared" si="14"/>
        <v>65080.135797164723</v>
      </c>
      <c r="K53" s="12">
        <f t="shared" si="15"/>
        <v>9270.2280382689132</v>
      </c>
      <c r="L53" s="8">
        <f t="shared" si="16"/>
        <v>117575.5661208547</v>
      </c>
      <c r="M53" s="14">
        <f t="shared" si="17"/>
        <v>0.78958243715151744</v>
      </c>
      <c r="N53" s="14">
        <f t="shared" si="18"/>
        <v>0.1</v>
      </c>
      <c r="O53" s="15">
        <f t="shared" si="19"/>
        <v>64754.735118178898</v>
      </c>
      <c r="P53" s="8">
        <f t="shared" si="20"/>
        <v>325.40067898582492</v>
      </c>
      <c r="Q53" s="16">
        <f t="shared" si="21"/>
        <v>67032.539871079673</v>
      </c>
    </row>
    <row r="54" spans="2:17" ht="17.100000000000001" customHeight="1" x14ac:dyDescent="0.3">
      <c r="B54" s="7" t="s">
        <v>50</v>
      </c>
      <c r="C54" s="7" t="s">
        <v>45</v>
      </c>
      <c r="D54" s="8">
        <f>$C$11+1750</f>
        <v>65750</v>
      </c>
      <c r="E54" s="9">
        <v>60</v>
      </c>
      <c r="F54" s="10">
        <f t="shared" si="12"/>
        <v>1.064638783269962E-2</v>
      </c>
      <c r="G54" s="11">
        <f t="shared" si="13"/>
        <v>35</v>
      </c>
      <c r="H54" s="10">
        <f t="shared" si="22"/>
        <v>0.19902952271445132</v>
      </c>
      <c r="I54" s="12">
        <f t="shared" si="23"/>
        <v>648</v>
      </c>
      <c r="J54" s="13">
        <f t="shared" si="14"/>
        <v>65115.967838569253</v>
      </c>
      <c r="K54" s="12">
        <f t="shared" si="15"/>
        <v>9225.8088815248266</v>
      </c>
      <c r="L54" s="8">
        <f t="shared" si="16"/>
        <v>114785.84097825304</v>
      </c>
      <c r="M54" s="14">
        <f t="shared" si="17"/>
        <v>0.74579225822438078</v>
      </c>
      <c r="N54" s="14">
        <f t="shared" si="18"/>
        <v>0.1</v>
      </c>
      <c r="O54" s="15">
        <f t="shared" si="19"/>
        <v>64790.387999376406</v>
      </c>
      <c r="P54" s="8">
        <f t="shared" si="20"/>
        <v>325.57983919284743</v>
      </c>
      <c r="Q54" s="16">
        <f t="shared" si="21"/>
        <v>67069.446873726338</v>
      </c>
    </row>
    <row r="55" spans="2:17" ht="17.100000000000001" customHeight="1" x14ac:dyDescent="0.3">
      <c r="B55" s="7" t="s">
        <v>50</v>
      </c>
      <c r="C55" s="7" t="s">
        <v>46</v>
      </c>
      <c r="D55" s="8">
        <f>$C$11+1800</f>
        <v>65800</v>
      </c>
      <c r="E55" s="9">
        <v>62</v>
      </c>
      <c r="F55" s="10">
        <f t="shared" si="12"/>
        <v>1.1003039513677811E-2</v>
      </c>
      <c r="G55" s="11">
        <f t="shared" si="13"/>
        <v>36.200000000000003</v>
      </c>
      <c r="H55" s="10">
        <f t="shared" si="22"/>
        <v>0.21003256222812913</v>
      </c>
      <c r="I55" s="12">
        <f t="shared" si="23"/>
        <v>684.2</v>
      </c>
      <c r="J55" s="13">
        <f t="shared" si="14"/>
        <v>65151.802438790306</v>
      </c>
      <c r="K55" s="12">
        <f t="shared" si="15"/>
        <v>9179.6574053891018</v>
      </c>
      <c r="L55" s="8">
        <f t="shared" si="16"/>
        <v>112202.45520136163</v>
      </c>
      <c r="M55" s="14">
        <f t="shared" si="17"/>
        <v>0.70520448634288202</v>
      </c>
      <c r="N55" s="14">
        <f t="shared" si="18"/>
        <v>0.1</v>
      </c>
      <c r="O55" s="15">
        <f t="shared" si="19"/>
        <v>64826.043426596356</v>
      </c>
      <c r="P55" s="8">
        <f t="shared" si="20"/>
        <v>325.75901219395018</v>
      </c>
      <c r="Q55" s="16">
        <f t="shared" si="21"/>
        <v>67106.356511954014</v>
      </c>
    </row>
    <row r="56" spans="2:17" ht="17.100000000000001" customHeight="1" x14ac:dyDescent="0.3">
      <c r="B56" s="7" t="s">
        <v>50</v>
      </c>
      <c r="C56" s="7" t="s">
        <v>47</v>
      </c>
      <c r="D56" s="8">
        <f>$C$11+1850</f>
        <v>65850</v>
      </c>
      <c r="E56" s="9">
        <v>64</v>
      </c>
      <c r="F56" s="10">
        <f t="shared" si="12"/>
        <v>1.1359149582384206E-2</v>
      </c>
      <c r="G56" s="11">
        <f t="shared" si="13"/>
        <v>37.4</v>
      </c>
      <c r="H56" s="10">
        <f t="shared" si="22"/>
        <v>0.22139171181051334</v>
      </c>
      <c r="I56" s="12">
        <f t="shared" si="23"/>
        <v>721.6</v>
      </c>
      <c r="J56" s="13">
        <f t="shared" si="14"/>
        <v>65187.62550764405</v>
      </c>
      <c r="K56" s="12">
        <f t="shared" si="15"/>
        <v>9131.7557772776963</v>
      </c>
      <c r="L56" s="8">
        <f t="shared" si="16"/>
        <v>109807.39776745152</v>
      </c>
      <c r="M56" s="14">
        <f t="shared" si="17"/>
        <v>0.66753831081930937</v>
      </c>
      <c r="N56" s="14">
        <f t="shared" si="18"/>
        <v>0.1</v>
      </c>
      <c r="O56" s="15">
        <f t="shared" si="19"/>
        <v>64861.687380105832</v>
      </c>
      <c r="P56" s="8">
        <f t="shared" si="20"/>
        <v>325.9381275382184</v>
      </c>
      <c r="Q56" s="16">
        <f t="shared" si="21"/>
        <v>67143.254272873368</v>
      </c>
    </row>
    <row r="57" spans="2:17" ht="17.100000000000001" customHeight="1" x14ac:dyDescent="0.3">
      <c r="B57" s="7" t="s">
        <v>50</v>
      </c>
      <c r="C57" s="7" t="s">
        <v>48</v>
      </c>
      <c r="D57" s="8">
        <f>$C$11+1900</f>
        <v>65900</v>
      </c>
      <c r="E57" s="9">
        <v>66</v>
      </c>
      <c r="F57" s="10">
        <f t="shared" si="12"/>
        <v>1.1684370257966616E-2</v>
      </c>
      <c r="G57" s="11">
        <f t="shared" si="13"/>
        <v>38.5</v>
      </c>
      <c r="H57" s="10">
        <f t="shared" si="22"/>
        <v>0.23307608206847996</v>
      </c>
      <c r="I57" s="12">
        <f t="shared" si="23"/>
        <v>760.1</v>
      </c>
      <c r="J57" s="13">
        <f t="shared" si="14"/>
        <v>65223.337654755618</v>
      </c>
      <c r="K57" s="12">
        <f t="shared" si="15"/>
        <v>9082.1861916871694</v>
      </c>
      <c r="L57" s="8">
        <f t="shared" si="16"/>
        <v>107589.83372671908</v>
      </c>
      <c r="M57" s="14">
        <f t="shared" si="17"/>
        <v>0.63262266656629862</v>
      </c>
      <c r="N57" s="14">
        <f t="shared" si="18"/>
        <v>0.1</v>
      </c>
      <c r="O57" s="15">
        <f t="shared" si="19"/>
        <v>64897.220966481837</v>
      </c>
      <c r="P57" s="8">
        <f t="shared" si="20"/>
        <v>326.11668827378162</v>
      </c>
      <c r="Q57" s="16">
        <f t="shared" si="21"/>
        <v>67180.037784398286</v>
      </c>
    </row>
    <row r="58" spans="2:17" ht="17.100000000000001" customHeight="1" x14ac:dyDescent="0.3">
      <c r="B58" s="7" t="s">
        <v>50</v>
      </c>
      <c r="C58" s="7" t="s">
        <v>49</v>
      </c>
      <c r="D58" s="8">
        <f>$C$11+1950</f>
        <v>65950</v>
      </c>
      <c r="E58" s="9">
        <v>68</v>
      </c>
      <c r="F58" s="10">
        <f t="shared" si="12"/>
        <v>1.2039423805913571E-2</v>
      </c>
      <c r="G58" s="11">
        <f t="shared" si="13"/>
        <v>39.700000000000003</v>
      </c>
      <c r="H58" s="10">
        <f t="shared" si="22"/>
        <v>0.24511550587439354</v>
      </c>
      <c r="I58" s="12">
        <f t="shared" si="23"/>
        <v>799.80000000000007</v>
      </c>
      <c r="J58" s="13">
        <f t="shared" si="14"/>
        <v>65259.029382649329</v>
      </c>
      <c r="K58" s="12">
        <f t="shared" si="15"/>
        <v>9030.8323875837486</v>
      </c>
      <c r="L58" s="8">
        <f t="shared" si="16"/>
        <v>105528.47962185521</v>
      </c>
      <c r="M58" s="14">
        <f t="shared" si="17"/>
        <v>0.60012857652547702</v>
      </c>
      <c r="N58" s="14">
        <f t="shared" si="18"/>
        <v>0.1</v>
      </c>
      <c r="O58" s="15">
        <f t="shared" si="19"/>
        <v>64932.734235736083</v>
      </c>
      <c r="P58" s="8">
        <f t="shared" si="20"/>
        <v>326.29514691324584</v>
      </c>
      <c r="Q58" s="16">
        <f t="shared" si="21"/>
        <v>67216.800264128804</v>
      </c>
    </row>
    <row r="59" spans="2:17" ht="17.100000000000001" customHeight="1" x14ac:dyDescent="0.3">
      <c r="B59" s="7" t="s">
        <v>51</v>
      </c>
      <c r="C59" s="7" t="s">
        <v>30</v>
      </c>
      <c r="D59" s="8">
        <f>$C$11+2000</f>
        <v>66000</v>
      </c>
      <c r="E59" s="9">
        <v>70</v>
      </c>
      <c r="F59" s="10">
        <f t="shared" si="12"/>
        <v>1.2393939393939395E-2</v>
      </c>
      <c r="G59" s="11">
        <f t="shared" si="13"/>
        <v>40.9</v>
      </c>
      <c r="H59" s="10">
        <f t="shared" si="22"/>
        <v>0.25750944526833291</v>
      </c>
      <c r="I59" s="12">
        <f t="shared" si="23"/>
        <v>840.7</v>
      </c>
      <c r="J59" s="13">
        <f t="shared" si="14"/>
        <v>65294.692326641787</v>
      </c>
      <c r="K59" s="12">
        <f t="shared" si="15"/>
        <v>8977.6766122900281</v>
      </c>
      <c r="L59" s="8">
        <f t="shared" si="16"/>
        <v>103610.1685012888</v>
      </c>
      <c r="M59" s="14">
        <f t="shared" si="17"/>
        <v>0.56985103789831526</v>
      </c>
      <c r="N59" s="14">
        <f t="shared" si="18"/>
        <v>0.05</v>
      </c>
      <c r="O59" s="15">
        <f t="shared" si="19"/>
        <v>65131.455595825188</v>
      </c>
      <c r="P59" s="8">
        <f t="shared" si="20"/>
        <v>163.23673081659945</v>
      </c>
      <c r="Q59" s="16">
        <f t="shared" si="21"/>
        <v>67253.533096441039</v>
      </c>
    </row>
    <row r="60" spans="2:17" ht="17.100000000000001" customHeight="1" x14ac:dyDescent="0.3">
      <c r="B60" s="7" t="s">
        <v>51</v>
      </c>
      <c r="C60" s="7" t="s">
        <v>31</v>
      </c>
      <c r="D60" s="8">
        <f>$C$11+2050</f>
        <v>66050</v>
      </c>
      <c r="E60" s="9">
        <v>74</v>
      </c>
      <c r="F60" s="10">
        <f t="shared" si="12"/>
        <v>1.3080999242997729E-2</v>
      </c>
      <c r="G60" s="11">
        <f t="shared" si="13"/>
        <v>43.2</v>
      </c>
      <c r="H60" s="10">
        <f t="shared" si="22"/>
        <v>0.27059044451133063</v>
      </c>
      <c r="I60" s="12">
        <f t="shared" si="23"/>
        <v>883.90000000000009</v>
      </c>
      <c r="J60" s="13">
        <f t="shared" si="14"/>
        <v>65331.20573391037</v>
      </c>
      <c r="K60" s="12">
        <f t="shared" si="15"/>
        <v>8921.6011400266125</v>
      </c>
      <c r="L60" s="8">
        <f t="shared" si="16"/>
        <v>101778.5330786486</v>
      </c>
      <c r="M60" s="14">
        <f t="shared" si="17"/>
        <v>0.54093161360558062</v>
      </c>
      <c r="N60" s="14">
        <f t="shared" si="18"/>
        <v>0.05</v>
      </c>
      <c r="O60" s="15">
        <f t="shared" si="19"/>
        <v>65167.877719575597</v>
      </c>
      <c r="P60" s="8">
        <f t="shared" si="20"/>
        <v>163.32801433477289</v>
      </c>
      <c r="Q60" s="16">
        <f t="shared" si="21"/>
        <v>67291.141905927681</v>
      </c>
    </row>
    <row r="61" spans="2:17" ht="17.100000000000001" customHeight="1" x14ac:dyDescent="0.3">
      <c r="B61" s="7" t="s">
        <v>51</v>
      </c>
      <c r="C61" s="7" t="s">
        <v>32</v>
      </c>
      <c r="D61" s="8">
        <f>$C$11+2100</f>
        <v>66100</v>
      </c>
      <c r="E61" s="9">
        <v>78</v>
      </c>
      <c r="F61" s="10">
        <f t="shared" si="12"/>
        <v>1.3767019667170952E-2</v>
      </c>
      <c r="G61" s="11">
        <f t="shared" si="13"/>
        <v>45.5</v>
      </c>
      <c r="H61" s="10">
        <f t="shared" si="22"/>
        <v>0.28435746417850161</v>
      </c>
      <c r="I61" s="12">
        <f t="shared" si="23"/>
        <v>929.40000000000009</v>
      </c>
      <c r="J61" s="13">
        <f t="shared" si="14"/>
        <v>65368.426510976446</v>
      </c>
      <c r="K61" s="12">
        <f t="shared" si="15"/>
        <v>8862.5716178010443</v>
      </c>
      <c r="L61" s="8">
        <f t="shared" si="16"/>
        <v>100035.2539591581</v>
      </c>
      <c r="M61" s="14">
        <f t="shared" si="17"/>
        <v>0.51339264688590169</v>
      </c>
      <c r="N61" s="14">
        <f t="shared" si="18"/>
        <v>0.05</v>
      </c>
      <c r="O61" s="15">
        <f t="shared" si="19"/>
        <v>65205.005444699011</v>
      </c>
      <c r="P61" s="8">
        <f t="shared" si="20"/>
        <v>163.42106627743487</v>
      </c>
      <c r="Q61" s="16">
        <f t="shared" si="21"/>
        <v>67329.479306305744</v>
      </c>
    </row>
    <row r="62" spans="2:17" ht="17.100000000000001" customHeight="1" x14ac:dyDescent="0.3">
      <c r="B62" s="7" t="s">
        <v>51</v>
      </c>
      <c r="C62" s="7" t="s">
        <v>33</v>
      </c>
      <c r="D62" s="8">
        <f>$C$11+2150</f>
        <v>66150</v>
      </c>
      <c r="E62" s="9">
        <v>82</v>
      </c>
      <c r="F62" s="10">
        <f t="shared" si="12"/>
        <v>1.4482237339380196E-2</v>
      </c>
      <c r="G62" s="11">
        <f t="shared" si="13"/>
        <v>47.9</v>
      </c>
      <c r="H62" s="10">
        <f t="shared" si="22"/>
        <v>0.29883970151788181</v>
      </c>
      <c r="I62" s="12">
        <f t="shared" si="23"/>
        <v>977.30000000000007</v>
      </c>
      <c r="J62" s="13">
        <f t="shared" si="14"/>
        <v>65406.30277945321</v>
      </c>
      <c r="K62" s="12">
        <f t="shared" si="15"/>
        <v>8800.4537445921196</v>
      </c>
      <c r="L62" s="8">
        <f t="shared" si="16"/>
        <v>98377.17286491541</v>
      </c>
      <c r="M62" s="14">
        <f t="shared" si="17"/>
        <v>0.48718326326402739</v>
      </c>
      <c r="N62" s="14">
        <f t="shared" si="18"/>
        <v>0.05</v>
      </c>
      <c r="O62" s="15">
        <f t="shared" si="19"/>
        <v>65242.787022504577</v>
      </c>
      <c r="P62" s="8">
        <f t="shared" si="20"/>
        <v>163.51575694863277</v>
      </c>
      <c r="Q62" s="16">
        <f t="shared" si="21"/>
        <v>67368.491862836803</v>
      </c>
    </row>
    <row r="63" spans="2:17" ht="17.100000000000001" customHeight="1" x14ac:dyDescent="0.3">
      <c r="B63" s="7" t="s">
        <v>51</v>
      </c>
      <c r="C63" s="7" t="s">
        <v>34</v>
      </c>
      <c r="D63" s="8">
        <f>$C$11+2200</f>
        <v>66200</v>
      </c>
      <c r="E63" s="9">
        <v>86</v>
      </c>
      <c r="F63" s="10">
        <f t="shared" si="12"/>
        <v>1.5166163141993958E-2</v>
      </c>
      <c r="G63" s="11">
        <f t="shared" si="13"/>
        <v>50.2</v>
      </c>
      <c r="H63" s="10">
        <f t="shared" si="22"/>
        <v>0.31400586465987579</v>
      </c>
      <c r="I63" s="12">
        <f t="shared" si="23"/>
        <v>1027.5</v>
      </c>
      <c r="J63" s="13">
        <f t="shared" si="14"/>
        <v>65444.637546051265</v>
      </c>
      <c r="K63" s="12">
        <f t="shared" si="15"/>
        <v>8735.3117595162221</v>
      </c>
      <c r="L63" s="8">
        <f t="shared" si="16"/>
        <v>96807.140793931379</v>
      </c>
      <c r="M63" s="14">
        <f t="shared" si="17"/>
        <v>0.46234351652464317</v>
      </c>
      <c r="N63" s="14">
        <f t="shared" si="18"/>
        <v>0.05</v>
      </c>
      <c r="O63" s="15">
        <f t="shared" si="19"/>
        <v>65281.025952186137</v>
      </c>
      <c r="P63" s="8">
        <f t="shared" si="20"/>
        <v>163.61159386512736</v>
      </c>
      <c r="Q63" s="16">
        <f t="shared" si="21"/>
        <v>67407.976672432807</v>
      </c>
    </row>
    <row r="64" spans="2:17" ht="17.100000000000001" customHeight="1" x14ac:dyDescent="0.3">
      <c r="B64" s="7" t="s">
        <v>51</v>
      </c>
      <c r="C64" s="7" t="s">
        <v>35</v>
      </c>
      <c r="D64" s="8">
        <f>$C$11+2250</f>
        <v>66250</v>
      </c>
      <c r="E64" s="9">
        <v>90</v>
      </c>
      <c r="F64" s="10">
        <f t="shared" si="12"/>
        <v>1.5849056603773583E-2</v>
      </c>
      <c r="G64" s="11">
        <f t="shared" si="13"/>
        <v>52.5</v>
      </c>
      <c r="H64" s="10">
        <f t="shared" si="22"/>
        <v>0.32985492126364935</v>
      </c>
      <c r="I64" s="12">
        <f t="shared" si="23"/>
        <v>1080</v>
      </c>
      <c r="J64" s="13">
        <f t="shared" si="14"/>
        <v>65483.334058658358</v>
      </c>
      <c r="K64" s="12">
        <f t="shared" si="15"/>
        <v>8667.1114662832315</v>
      </c>
      <c r="L64" s="8">
        <f t="shared" si="16"/>
        <v>95323.077033978465</v>
      </c>
      <c r="M64" s="14">
        <f t="shared" si="17"/>
        <v>0.43883889862609005</v>
      </c>
      <c r="N64" s="14">
        <f t="shared" si="18"/>
        <v>0.05</v>
      </c>
      <c r="O64" s="15">
        <f t="shared" si="19"/>
        <v>65319.625723511715</v>
      </c>
      <c r="P64" s="8">
        <f t="shared" si="20"/>
        <v>163.70833514664264</v>
      </c>
      <c r="Q64" s="16">
        <f t="shared" si="21"/>
        <v>67447.834080418106</v>
      </c>
    </row>
    <row r="65" spans="2:17" ht="17.100000000000001" customHeight="1" x14ac:dyDescent="0.3">
      <c r="B65" s="7" t="s">
        <v>51</v>
      </c>
      <c r="C65" s="7" t="s">
        <v>36</v>
      </c>
      <c r="D65" s="8">
        <f>$C$11+2300</f>
        <v>66300</v>
      </c>
      <c r="E65" s="9">
        <v>94</v>
      </c>
      <c r="F65" s="10">
        <f t="shared" si="12"/>
        <v>1.6561085972850678E-2</v>
      </c>
      <c r="G65" s="11">
        <f t="shared" si="13"/>
        <v>54.9</v>
      </c>
      <c r="H65" s="10">
        <f t="shared" si="22"/>
        <v>0.34641600723650001</v>
      </c>
      <c r="I65" s="12">
        <f t="shared" si="23"/>
        <v>1134.9000000000001</v>
      </c>
      <c r="J65" s="13">
        <f t="shared" si="14"/>
        <v>65522.376350536128</v>
      </c>
      <c r="K65" s="12">
        <f t="shared" si="15"/>
        <v>8595.7187202200494</v>
      </c>
      <c r="L65" s="8">
        <f t="shared" si="16"/>
        <v>93919.803656395539</v>
      </c>
      <c r="M65" s="14">
        <f t="shared" si="17"/>
        <v>0.41658829044337164</v>
      </c>
      <c r="N65" s="14">
        <f t="shared" si="18"/>
        <v>0.05</v>
      </c>
      <c r="O65" s="15">
        <f t="shared" si="19"/>
        <v>65358.570409659791</v>
      </c>
      <c r="P65" s="8">
        <f t="shared" si="20"/>
        <v>163.80594087633654</v>
      </c>
      <c r="Q65" s="16">
        <f t="shared" si="21"/>
        <v>67488.04764105221</v>
      </c>
    </row>
    <row r="66" spans="2:17" ht="17.100000000000001" customHeight="1" x14ac:dyDescent="0.3">
      <c r="B66" s="7" t="s">
        <v>51</v>
      </c>
      <c r="C66" s="7" t="s">
        <v>37</v>
      </c>
      <c r="D66" s="8">
        <f>$C$11+2350</f>
        <v>66350</v>
      </c>
      <c r="E66" s="9">
        <v>98</v>
      </c>
      <c r="F66" s="10">
        <f t="shared" si="12"/>
        <v>1.7241899020346646E-2</v>
      </c>
      <c r="G66" s="11">
        <f t="shared" si="13"/>
        <v>57.2</v>
      </c>
      <c r="H66" s="10">
        <f t="shared" si="22"/>
        <v>0.36365790625684669</v>
      </c>
      <c r="I66" s="12">
        <f t="shared" si="23"/>
        <v>1192.1000000000001</v>
      </c>
      <c r="J66" s="13">
        <f t="shared" si="14"/>
        <v>65561.615985218596</v>
      </c>
      <c r="K66" s="12">
        <f t="shared" si="15"/>
        <v>8521.1979198582267</v>
      </c>
      <c r="L66" s="8">
        <f t="shared" si="16"/>
        <v>92597.001911496423</v>
      </c>
      <c r="M66" s="14">
        <f t="shared" si="17"/>
        <v>0.39558405292383458</v>
      </c>
      <c r="N66" s="14">
        <f t="shared" si="18"/>
        <v>0.05</v>
      </c>
      <c r="O66" s="15">
        <f t="shared" si="19"/>
        <v>65397.711945255556</v>
      </c>
      <c r="P66" s="8">
        <f t="shared" si="20"/>
        <v>163.90403996303939</v>
      </c>
      <c r="Q66" s="16">
        <f t="shared" si="21"/>
        <v>67528.464464775156</v>
      </c>
    </row>
    <row r="67" spans="2:17" ht="17.100000000000001" customHeight="1" x14ac:dyDescent="0.3">
      <c r="B67" s="7" t="s">
        <v>51</v>
      </c>
      <c r="C67" s="7" t="s">
        <v>38</v>
      </c>
      <c r="D67" s="8">
        <f>$C$11+2400</f>
        <v>66400</v>
      </c>
      <c r="E67" s="9">
        <v>102</v>
      </c>
      <c r="F67" s="10">
        <f t="shared" si="12"/>
        <v>1.7921686746987953E-2</v>
      </c>
      <c r="G67" s="11">
        <f t="shared" si="13"/>
        <v>59.5</v>
      </c>
      <c r="H67" s="10">
        <f t="shared" si="22"/>
        <v>0.38157959300383465</v>
      </c>
      <c r="I67" s="12">
        <f t="shared" si="23"/>
        <v>1251.6000000000001</v>
      </c>
      <c r="J67" s="13">
        <f t="shared" si="14"/>
        <v>65600.992450737394</v>
      </c>
      <c r="K67" s="12">
        <f t="shared" si="15"/>
        <v>8443.5150245453824</v>
      </c>
      <c r="L67" s="8">
        <f t="shared" si="16"/>
        <v>91351.089214133564</v>
      </c>
      <c r="M67" s="14">
        <f t="shared" si="17"/>
        <v>0.3757694158755055</v>
      </c>
      <c r="N67" s="14">
        <f t="shared" si="18"/>
        <v>0.05</v>
      </c>
      <c r="O67" s="15">
        <f t="shared" si="19"/>
        <v>65436.989969610557</v>
      </c>
      <c r="P67" s="8">
        <f t="shared" si="20"/>
        <v>164.00248112683767</v>
      </c>
      <c r="Q67" s="16">
        <f t="shared" si="21"/>
        <v>67569.022224259519</v>
      </c>
    </row>
    <row r="68" spans="2:17" ht="17.100000000000001" customHeight="1" x14ac:dyDescent="0.3">
      <c r="B68" s="7" t="s">
        <v>51</v>
      </c>
      <c r="C68" s="7" t="s">
        <v>39</v>
      </c>
      <c r="D68" s="8">
        <f>$C$11+2450</f>
        <v>66450</v>
      </c>
      <c r="E68" s="9">
        <v>106</v>
      </c>
      <c r="F68" s="10">
        <f t="shared" si="12"/>
        <v>1.8630549285176826E-2</v>
      </c>
      <c r="G68" s="11">
        <f t="shared" si="13"/>
        <v>61.9</v>
      </c>
      <c r="H68" s="10">
        <f t="shared" si="22"/>
        <v>0.40021014228901147</v>
      </c>
      <c r="I68" s="12">
        <f t="shared" si="23"/>
        <v>1313.5000000000002</v>
      </c>
      <c r="J68" s="13">
        <f t="shared" si="14"/>
        <v>65640.515379615594</v>
      </c>
      <c r="K68" s="12">
        <f t="shared" si="15"/>
        <v>8362.5360448951906</v>
      </c>
      <c r="L68" s="8">
        <f t="shared" si="16"/>
        <v>90176.505853627095</v>
      </c>
      <c r="M68" s="14">
        <f t="shared" si="17"/>
        <v>0.35705802639017448</v>
      </c>
      <c r="N68" s="14">
        <f t="shared" si="18"/>
        <v>0.05</v>
      </c>
      <c r="O68" s="15">
        <f t="shared" si="19"/>
        <v>65476.41409116656</v>
      </c>
      <c r="P68" s="8">
        <f t="shared" si="20"/>
        <v>164.10128844903375</v>
      </c>
      <c r="Q68" s="16">
        <f t="shared" si="21"/>
        <v>67609.730841004057</v>
      </c>
    </row>
    <row r="69" spans="2:17" ht="17.100000000000001" customHeight="1" x14ac:dyDescent="0.3">
      <c r="B69" s="7" t="s">
        <v>51</v>
      </c>
      <c r="C69" s="7" t="s">
        <v>40</v>
      </c>
      <c r="D69" s="8">
        <f>$C$11+2500</f>
        <v>66500</v>
      </c>
      <c r="E69" s="9">
        <v>110</v>
      </c>
      <c r="F69" s="10">
        <f t="shared" si="12"/>
        <v>1.9308270676691729E-2</v>
      </c>
      <c r="G69" s="11">
        <f t="shared" si="13"/>
        <v>64.2</v>
      </c>
      <c r="H69" s="10">
        <f t="shared" si="22"/>
        <v>0.41951841296570319</v>
      </c>
      <c r="I69" s="12">
        <f t="shared" si="23"/>
        <v>1377.7000000000003</v>
      </c>
      <c r="J69" s="13">
        <f t="shared" si="14"/>
        <v>65680.073027575607</v>
      </c>
      <c r="K69" s="12">
        <f t="shared" si="15"/>
        <v>8278.3255377807436</v>
      </c>
      <c r="L69" s="8">
        <f t="shared" si="16"/>
        <v>89071.571173586039</v>
      </c>
      <c r="M69" s="14">
        <f t="shared" si="17"/>
        <v>0.33942212291106827</v>
      </c>
      <c r="N69" s="14">
        <f t="shared" si="18"/>
        <v>0.05</v>
      </c>
      <c r="O69" s="15">
        <f t="shared" si="19"/>
        <v>65515.87284500667</v>
      </c>
      <c r="P69" s="8">
        <f t="shared" si="20"/>
        <v>164.20018256893673</v>
      </c>
      <c r="Q69" s="16">
        <f t="shared" si="21"/>
        <v>67650.475218402877</v>
      </c>
    </row>
    <row r="70" spans="2:17" ht="17.100000000000001" customHeight="1" x14ac:dyDescent="0.3">
      <c r="B70" s="7" t="s">
        <v>51</v>
      </c>
      <c r="C70" s="7" t="s">
        <v>41</v>
      </c>
      <c r="D70" s="8">
        <f>$C$11+2550</f>
        <v>66550</v>
      </c>
      <c r="E70" s="9">
        <v>114</v>
      </c>
      <c r="F70" s="10">
        <f t="shared" si="12"/>
        <v>1.998497370398197E-2</v>
      </c>
      <c r="G70" s="11">
        <f t="shared" si="13"/>
        <v>66.5</v>
      </c>
      <c r="H70" s="10">
        <f t="shared" si="22"/>
        <v>0.43950338666968514</v>
      </c>
      <c r="I70" s="12">
        <f t="shared" si="23"/>
        <v>1444.2000000000003</v>
      </c>
      <c r="J70" s="13">
        <f t="shared" si="14"/>
        <v>65719.630100844195</v>
      </c>
      <c r="K70" s="12">
        <f t="shared" si="15"/>
        <v>8190.8496171324578</v>
      </c>
      <c r="L70" s="8">
        <f t="shared" si="16"/>
        <v>88032.421221727724</v>
      </c>
      <c r="M70" s="14">
        <f t="shared" si="17"/>
        <v>0.32280122046172388</v>
      </c>
      <c r="N70" s="14">
        <f t="shared" si="18"/>
        <v>0.05</v>
      </c>
      <c r="O70" s="15">
        <f t="shared" si="19"/>
        <v>65555.331025592095</v>
      </c>
      <c r="P70" s="8">
        <f t="shared" si="20"/>
        <v>164.29907525210001</v>
      </c>
      <c r="Q70" s="16">
        <f t="shared" si="21"/>
        <v>67691.219003869526</v>
      </c>
    </row>
    <row r="71" spans="2:17" ht="17.100000000000001" customHeight="1" x14ac:dyDescent="0.3">
      <c r="B71" s="7" t="s">
        <v>51</v>
      </c>
      <c r="C71" s="7" t="s">
        <v>42</v>
      </c>
      <c r="D71" s="8">
        <f>$C$11+2600</f>
        <v>66600</v>
      </c>
      <c r="E71" s="9">
        <v>118</v>
      </c>
      <c r="F71" s="10">
        <f t="shared" si="12"/>
        <v>2.069069069069069E-2</v>
      </c>
      <c r="G71" s="11">
        <f t="shared" si="13"/>
        <v>68.900000000000006</v>
      </c>
      <c r="H71" s="10">
        <f t="shared" si="22"/>
        <v>0.46019407736037582</v>
      </c>
      <c r="I71" s="12">
        <f t="shared" si="23"/>
        <v>1513.1000000000004</v>
      </c>
      <c r="J71" s="13">
        <f t="shared" si="14"/>
        <v>65759.212229717537</v>
      </c>
      <c r="K71" s="12">
        <f t="shared" si="15"/>
        <v>8099.9744477989743</v>
      </c>
      <c r="L71" s="8">
        <f t="shared" si="16"/>
        <v>87053.905109075189</v>
      </c>
      <c r="M71" s="14">
        <f t="shared" si="17"/>
        <v>0.30711569232845631</v>
      </c>
      <c r="N71" s="14">
        <f t="shared" si="18"/>
        <v>0.05</v>
      </c>
      <c r="O71" s="15">
        <f t="shared" si="19"/>
        <v>65594.814199143249</v>
      </c>
      <c r="P71" s="8">
        <f t="shared" si="20"/>
        <v>164.39803057428799</v>
      </c>
      <c r="Q71" s="16">
        <f t="shared" si="21"/>
        <v>67731.988596609066</v>
      </c>
    </row>
    <row r="72" spans="2:17" ht="17.100000000000001" customHeight="1" x14ac:dyDescent="0.3">
      <c r="B72" s="7" t="s">
        <v>51</v>
      </c>
      <c r="C72" s="7" t="s">
        <v>43</v>
      </c>
      <c r="D72" s="8">
        <f>$C$11+2650</f>
        <v>66650</v>
      </c>
      <c r="E72" s="9">
        <v>122</v>
      </c>
      <c r="F72" s="10">
        <f t="shared" si="12"/>
        <v>2.1365341335333833E-2</v>
      </c>
      <c r="G72" s="11">
        <f t="shared" si="13"/>
        <v>71.2</v>
      </c>
      <c r="H72" s="10">
        <f t="shared" si="22"/>
        <v>0.48155941869570967</v>
      </c>
      <c r="I72" s="12">
        <f t="shared" si="23"/>
        <v>1584.3000000000004</v>
      </c>
      <c r="J72" s="13">
        <f t="shared" si="14"/>
        <v>65798.733800743968</v>
      </c>
      <c r="K72" s="12">
        <f t="shared" si="15"/>
        <v>8005.7647439309585</v>
      </c>
      <c r="L72" s="8">
        <f t="shared" si="16"/>
        <v>86133.933539328951</v>
      </c>
      <c r="M72" s="14">
        <f t="shared" si="17"/>
        <v>0.29233208611146211</v>
      </c>
      <c r="N72" s="14">
        <f t="shared" si="18"/>
        <v>0.05</v>
      </c>
      <c r="O72" s="15">
        <f t="shared" si="19"/>
        <v>65634.236966242112</v>
      </c>
      <c r="P72" s="8">
        <f t="shared" si="20"/>
        <v>164.49683450185694</v>
      </c>
      <c r="Q72" s="16">
        <f t="shared" si="21"/>
        <v>67772.695814766295</v>
      </c>
    </row>
    <row r="73" spans="2:17" ht="17.100000000000001" customHeight="1" x14ac:dyDescent="0.3">
      <c r="B73" s="7" t="s">
        <v>51</v>
      </c>
      <c r="C73" s="7" t="s">
        <v>44</v>
      </c>
      <c r="D73" s="8">
        <f>$C$11+2700</f>
        <v>66700</v>
      </c>
      <c r="E73" s="9">
        <v>126</v>
      </c>
      <c r="F73" s="10">
        <f t="shared" si="12"/>
        <v>2.2068965517241378E-2</v>
      </c>
      <c r="G73" s="11">
        <f t="shared" si="13"/>
        <v>73.599999999999994</v>
      </c>
      <c r="H73" s="10">
        <f t="shared" si="22"/>
        <v>0.50362838421295109</v>
      </c>
      <c r="I73" s="12">
        <f t="shared" si="23"/>
        <v>1657.9000000000003</v>
      </c>
      <c r="J73" s="13">
        <f t="shared" si="14"/>
        <v>65838.22723140975</v>
      </c>
      <c r="K73" s="12">
        <f t="shared" si="15"/>
        <v>7908.086772996171</v>
      </c>
      <c r="L73" s="8">
        <f t="shared" si="16"/>
        <v>85267.798496304953</v>
      </c>
      <c r="M73" s="14">
        <f t="shared" si="17"/>
        <v>0.27837778855029915</v>
      </c>
      <c r="N73" s="14">
        <f t="shared" si="18"/>
        <v>0.05</v>
      </c>
      <c r="O73" s="15">
        <f t="shared" si="19"/>
        <v>65673.631663331224</v>
      </c>
      <c r="P73" s="8">
        <f t="shared" si="20"/>
        <v>164.59556807852641</v>
      </c>
      <c r="Q73" s="16">
        <f t="shared" si="21"/>
        <v>67813.374048352038</v>
      </c>
    </row>
    <row r="74" spans="2:17" ht="17.100000000000001" customHeight="1" x14ac:dyDescent="0.3">
      <c r="B74" s="7" t="s">
        <v>51</v>
      </c>
      <c r="C74" s="7" t="s">
        <v>45</v>
      </c>
      <c r="D74" s="8">
        <f>$C$11+2750</f>
        <v>66750</v>
      </c>
      <c r="E74" s="9">
        <v>130</v>
      </c>
      <c r="F74" s="10">
        <f t="shared" si="12"/>
        <v>2.2741573033707864E-2</v>
      </c>
      <c r="G74" s="11">
        <f t="shared" si="13"/>
        <v>75.900000000000006</v>
      </c>
      <c r="H74" s="10">
        <f t="shared" si="22"/>
        <v>0.52636995724665891</v>
      </c>
      <c r="I74" s="12">
        <f t="shared" si="23"/>
        <v>1733.8000000000004</v>
      </c>
      <c r="J74" s="13">
        <f t="shared" si="14"/>
        <v>65877.619956472379</v>
      </c>
      <c r="K74" s="12">
        <f t="shared" si="15"/>
        <v>7807.0053537855265</v>
      </c>
      <c r="L74" s="8">
        <f t="shared" si="16"/>
        <v>84453.397712537786</v>
      </c>
      <c r="M74" s="14">
        <f t="shared" si="17"/>
        <v>0.26521944138633385</v>
      </c>
      <c r="N74" s="14">
        <f t="shared" si="18"/>
        <v>0.05</v>
      </c>
      <c r="O74" s="15">
        <f t="shared" si="19"/>
        <v>65712.925906581208</v>
      </c>
      <c r="P74" s="8">
        <f t="shared" si="20"/>
        <v>164.69404989117174</v>
      </c>
      <c r="Q74" s="16">
        <f t="shared" si="21"/>
        <v>67853.948555166557</v>
      </c>
    </row>
    <row r="75" spans="2:17" ht="17.100000000000001" customHeight="1" x14ac:dyDescent="0.3">
      <c r="B75" s="7" t="s">
        <v>51</v>
      </c>
      <c r="C75" s="7" t="s">
        <v>46</v>
      </c>
      <c r="D75" s="8">
        <f>$C$11+2800</f>
        <v>66800</v>
      </c>
      <c r="E75" s="9">
        <v>134</v>
      </c>
      <c r="F75" s="10">
        <f t="shared" si="12"/>
        <v>2.3413173652694609E-2</v>
      </c>
      <c r="G75" s="11">
        <f t="shared" si="13"/>
        <v>78.2</v>
      </c>
      <c r="H75" s="10">
        <f t="shared" si="22"/>
        <v>0.54978313089935349</v>
      </c>
      <c r="I75" s="12">
        <f t="shared" si="23"/>
        <v>1812.0000000000005</v>
      </c>
      <c r="J75" s="13">
        <f t="shared" si="14"/>
        <v>65916.900616280123</v>
      </c>
      <c r="K75" s="12">
        <f t="shared" si="15"/>
        <v>7702.4868559231963</v>
      </c>
      <c r="L75" s="8">
        <f t="shared" si="16"/>
        <v>83687.453584637318</v>
      </c>
      <c r="M75" s="14">
        <f t="shared" si="17"/>
        <v>0.25280619138678623</v>
      </c>
      <c r="N75" s="14">
        <f t="shared" si="18"/>
        <v>0.05</v>
      </c>
      <c r="O75" s="15">
        <f t="shared" si="19"/>
        <v>65752.108364739426</v>
      </c>
      <c r="P75" s="8">
        <f t="shared" si="20"/>
        <v>164.79225154069718</v>
      </c>
      <c r="Q75" s="16">
        <f t="shared" si="21"/>
        <v>67894.407634768533</v>
      </c>
    </row>
    <row r="76" spans="2:17" ht="17.100000000000001" customHeight="1" x14ac:dyDescent="0.3">
      <c r="B76" s="7" t="s">
        <v>51</v>
      </c>
      <c r="C76" s="7" t="s">
        <v>47</v>
      </c>
      <c r="D76" s="8">
        <f>$C$11+2850</f>
        <v>66850</v>
      </c>
      <c r="E76" s="9">
        <v>138</v>
      </c>
      <c r="F76" s="10">
        <f t="shared" si="12"/>
        <v>2.4113687359760657E-2</v>
      </c>
      <c r="G76" s="11">
        <f t="shared" si="13"/>
        <v>80.599999999999994</v>
      </c>
      <c r="H76" s="10">
        <f t="shared" si="22"/>
        <v>0.57389681825911409</v>
      </c>
      <c r="I76" s="12">
        <f t="shared" si="23"/>
        <v>1892.6000000000004</v>
      </c>
      <c r="J76" s="13">
        <f t="shared" si="14"/>
        <v>65956.107083538227</v>
      </c>
      <c r="K76" s="12">
        <f t="shared" si="15"/>
        <v>7594.397699378228</v>
      </c>
      <c r="L76" s="8">
        <f t="shared" si="16"/>
        <v>82966.012065885079</v>
      </c>
      <c r="M76" s="14">
        <f t="shared" si="17"/>
        <v>0.24107721863702436</v>
      </c>
      <c r="N76" s="14">
        <f t="shared" si="18"/>
        <v>0.05</v>
      </c>
      <c r="O76" s="15">
        <f t="shared" si="19"/>
        <v>65791.216815829379</v>
      </c>
      <c r="P76" s="8">
        <f t="shared" si="20"/>
        <v>164.89026770884811</v>
      </c>
      <c r="Q76" s="16">
        <f t="shared" si="21"/>
        <v>67934.790296044375</v>
      </c>
    </row>
    <row r="77" spans="2:17" ht="17.100000000000001" customHeight="1" x14ac:dyDescent="0.3">
      <c r="B77" s="7" t="s">
        <v>51</v>
      </c>
      <c r="C77" s="7" t="s">
        <v>48</v>
      </c>
      <c r="D77" s="8">
        <f>$C$11+2900</f>
        <v>66900</v>
      </c>
      <c r="E77" s="9">
        <v>142</v>
      </c>
      <c r="F77" s="10">
        <f t="shared" si="12"/>
        <v>2.4783258594917788E-2</v>
      </c>
      <c r="G77" s="11">
        <f t="shared" si="13"/>
        <v>82.9</v>
      </c>
      <c r="H77" s="10">
        <f t="shared" si="22"/>
        <v>0.59868007685403191</v>
      </c>
      <c r="I77" s="12">
        <f t="shared" si="23"/>
        <v>1975.5000000000005</v>
      </c>
      <c r="J77" s="13">
        <f t="shared" si="14"/>
        <v>65995.180944752225</v>
      </c>
      <c r="K77" s="12">
        <f t="shared" si="15"/>
        <v>7482.8028584652693</v>
      </c>
      <c r="L77" s="8">
        <f t="shared" si="16"/>
        <v>82287.157192389946</v>
      </c>
      <c r="M77" s="14">
        <f t="shared" si="17"/>
        <v>0.23000234966203209</v>
      </c>
      <c r="N77" s="14">
        <f t="shared" si="18"/>
        <v>0.05</v>
      </c>
      <c r="O77" s="15">
        <f t="shared" si="19"/>
        <v>65830.192992390352</v>
      </c>
      <c r="P77" s="8">
        <f t="shared" si="20"/>
        <v>164.98795236187289</v>
      </c>
      <c r="Q77" s="16">
        <f t="shared" si="21"/>
        <v>67975.036373094787</v>
      </c>
    </row>
    <row r="78" spans="2:17" ht="17.100000000000001" customHeight="1" x14ac:dyDescent="0.3">
      <c r="B78" s="7" t="s">
        <v>51</v>
      </c>
      <c r="C78" s="7" t="s">
        <v>49</v>
      </c>
      <c r="D78" s="8">
        <f>$C$11+2950</f>
        <v>66950</v>
      </c>
      <c r="E78" s="9">
        <v>146</v>
      </c>
      <c r="F78" s="10">
        <f t="shared" si="12"/>
        <v>2.5451829723674383E-2</v>
      </c>
      <c r="G78" s="11">
        <f t="shared" si="13"/>
        <v>85.2</v>
      </c>
      <c r="H78" s="10">
        <f t="shared" si="22"/>
        <v>0.62413190657770634</v>
      </c>
      <c r="I78" s="12">
        <f t="shared" si="23"/>
        <v>2060.7000000000003</v>
      </c>
      <c r="J78" s="13">
        <f t="shared" si="14"/>
        <v>66034.118053646947</v>
      </c>
      <c r="K78" s="12">
        <f t="shared" si="15"/>
        <v>7367.6688546225678</v>
      </c>
      <c r="L78" s="8">
        <f t="shared" si="16"/>
        <v>81648.131497592229</v>
      </c>
      <c r="M78" s="14">
        <f t="shared" si="17"/>
        <v>0.21953893200287122</v>
      </c>
      <c r="N78" s="14">
        <f t="shared" si="18"/>
        <v>0.05</v>
      </c>
      <c r="O78" s="15">
        <f t="shared" si="19"/>
        <v>65869.03275851284</v>
      </c>
      <c r="P78" s="8">
        <f t="shared" si="20"/>
        <v>165.08529513410758</v>
      </c>
      <c r="Q78" s="16">
        <f t="shared" si="21"/>
        <v>68015.141595256355</v>
      </c>
    </row>
    <row r="79" spans="2:17" ht="17.100000000000001" customHeight="1" x14ac:dyDescent="0.3">
      <c r="B79" s="7" t="s">
        <v>52</v>
      </c>
      <c r="C79" s="7" t="s">
        <v>30</v>
      </c>
      <c r="D79" s="8">
        <f>$C$11+3000</f>
        <v>67000</v>
      </c>
      <c r="E79" s="9">
        <v>148</v>
      </c>
      <c r="F79" s="10">
        <f t="shared" si="12"/>
        <v>2.5791044776119404E-2</v>
      </c>
      <c r="G79" s="11">
        <f t="shared" si="13"/>
        <v>86.4</v>
      </c>
      <c r="H79" s="10">
        <f t="shared" si="22"/>
        <v>0.64992295135382572</v>
      </c>
      <c r="I79" s="12">
        <f t="shared" si="23"/>
        <v>2147.1000000000004</v>
      </c>
      <c r="J79" s="13">
        <f t="shared" si="14"/>
        <v>66072.447373260831</v>
      </c>
      <c r="K79" s="12">
        <f t="shared" si="15"/>
        <v>7250.0622592936852</v>
      </c>
      <c r="L79" s="8">
        <f t="shared" si="16"/>
        <v>81053.618518074596</v>
      </c>
      <c r="M79" s="14">
        <f t="shared" si="17"/>
        <v>0.20975550026977008</v>
      </c>
      <c r="N79" s="14">
        <f t="shared" si="18"/>
        <v>0.05</v>
      </c>
      <c r="O79" s="15">
        <f t="shared" si="19"/>
        <v>65907.266254827686</v>
      </c>
      <c r="P79" s="8">
        <f t="shared" si="20"/>
        <v>165.18111843314546</v>
      </c>
      <c r="Q79" s="16">
        <f t="shared" si="21"/>
        <v>68054.620794458664</v>
      </c>
    </row>
    <row r="80" spans="2:17" ht="17.100000000000001" customHeight="1" x14ac:dyDescent="0.3">
      <c r="B80" s="7" t="s">
        <v>52</v>
      </c>
      <c r="C80" s="7" t="s">
        <v>31</v>
      </c>
      <c r="D80" s="8">
        <f>$C$11+3050</f>
        <v>67050</v>
      </c>
      <c r="E80" s="9">
        <v>156</v>
      </c>
      <c r="F80" s="10">
        <f t="shared" si="12"/>
        <v>2.7173750932140195E-2</v>
      </c>
      <c r="G80" s="11">
        <f t="shared" si="13"/>
        <v>91.1</v>
      </c>
      <c r="H80" s="10">
        <f t="shared" si="22"/>
        <v>0.67709670228596597</v>
      </c>
      <c r="I80" s="12">
        <f t="shared" si="23"/>
        <v>2238.2000000000003</v>
      </c>
      <c r="J80" s="13">
        <f t="shared" si="14"/>
        <v>66111.679245920051</v>
      </c>
      <c r="K80" s="12">
        <f t="shared" si="15"/>
        <v>7126.4661117259857</v>
      </c>
      <c r="L80" s="8">
        <f t="shared" si="16"/>
        <v>80478.227267370734</v>
      </c>
      <c r="M80" s="14">
        <f t="shared" si="17"/>
        <v>0.20027184589665525</v>
      </c>
      <c r="N80" s="14">
        <f t="shared" si="18"/>
        <v>0.05</v>
      </c>
      <c r="O80" s="15">
        <f t="shared" si="19"/>
        <v>65946.400047805248</v>
      </c>
      <c r="P80" s="8">
        <f t="shared" si="20"/>
        <v>165.27919811480388</v>
      </c>
      <c r="Q80" s="16">
        <f t="shared" si="21"/>
        <v>68095.029623297654</v>
      </c>
    </row>
    <row r="81" spans="2:17" ht="17.100000000000001" customHeight="1" x14ac:dyDescent="0.3">
      <c r="B81" s="7" t="s">
        <v>52</v>
      </c>
      <c r="C81" s="7" t="s">
        <v>32</v>
      </c>
      <c r="D81" s="8">
        <f>$C$11+3100</f>
        <v>67100</v>
      </c>
      <c r="E81" s="9">
        <v>164</v>
      </c>
      <c r="F81" s="10">
        <f t="shared" si="12"/>
        <v>2.8524590163934428E-2</v>
      </c>
      <c r="G81" s="11">
        <f t="shared" si="13"/>
        <v>95.7</v>
      </c>
      <c r="H81" s="10">
        <f t="shared" si="22"/>
        <v>0.70562129244990035</v>
      </c>
      <c r="I81" s="12">
        <f t="shared" si="23"/>
        <v>2333.9</v>
      </c>
      <c r="J81" s="13">
        <f t="shared" si="14"/>
        <v>66151.631901490808</v>
      </c>
      <c r="K81" s="12">
        <f t="shared" si="15"/>
        <v>6996.9112766116896</v>
      </c>
      <c r="L81" s="8">
        <f t="shared" si="16"/>
        <v>79923.92024437341</v>
      </c>
      <c r="M81" s="14">
        <f t="shared" si="17"/>
        <v>0.19111654611584813</v>
      </c>
      <c r="N81" s="14">
        <f t="shared" si="18"/>
        <v>0.05</v>
      </c>
      <c r="O81" s="15">
        <f t="shared" si="19"/>
        <v>65986.252821737085</v>
      </c>
      <c r="P81" s="8">
        <f t="shared" si="20"/>
        <v>165.37907975372218</v>
      </c>
      <c r="Q81" s="16">
        <f t="shared" si="21"/>
        <v>68136.180858535532</v>
      </c>
    </row>
    <row r="82" spans="2:17" ht="17.100000000000001" customHeight="1" x14ac:dyDescent="0.3">
      <c r="B82" s="7" t="s">
        <v>52</v>
      </c>
      <c r="C82" s="7" t="s">
        <v>33</v>
      </c>
      <c r="D82" s="8">
        <f>$C$11+3150</f>
        <v>67150</v>
      </c>
      <c r="E82" s="9">
        <v>172</v>
      </c>
      <c r="F82" s="10">
        <f t="shared" si="12"/>
        <v>2.9903201787043931E-2</v>
      </c>
      <c r="G82" s="11">
        <f t="shared" si="13"/>
        <v>100.4</v>
      </c>
      <c r="H82" s="10">
        <f t="shared" si="22"/>
        <v>0.73552449423694433</v>
      </c>
      <c r="I82" s="12">
        <f t="shared" si="23"/>
        <v>2434.3000000000002</v>
      </c>
      <c r="J82" s="13">
        <f t="shared" si="14"/>
        <v>66192.221172060832</v>
      </c>
      <c r="K82" s="12">
        <f t="shared" si="15"/>
        <v>6861.2302119891901</v>
      </c>
      <c r="L82" s="8">
        <f t="shared" si="16"/>
        <v>79391.006429127869</v>
      </c>
      <c r="M82" s="14">
        <f t="shared" si="17"/>
        <v>0.18229346878820354</v>
      </c>
      <c r="N82" s="14">
        <f t="shared" si="18"/>
        <v>0.05</v>
      </c>
      <c r="O82" s="15">
        <f t="shared" si="19"/>
        <v>66026.74061913068</v>
      </c>
      <c r="P82" s="8">
        <f t="shared" si="20"/>
        <v>165.48055293015204</v>
      </c>
      <c r="Q82" s="16">
        <f t="shared" si="21"/>
        <v>68177.987807222657</v>
      </c>
    </row>
    <row r="83" spans="2:17" ht="17.100000000000001" customHeight="1" x14ac:dyDescent="0.3">
      <c r="B83" s="7" t="s">
        <v>52</v>
      </c>
      <c r="C83" s="7" t="s">
        <v>34</v>
      </c>
      <c r="D83" s="8">
        <f>$C$11+3200</f>
        <v>67200</v>
      </c>
      <c r="E83" s="9">
        <v>180</v>
      </c>
      <c r="F83" s="10">
        <f t="shared" ref="F83:F114" si="24">(G83*$C$13)/D83</f>
        <v>3.1279761904761907E-2</v>
      </c>
      <c r="G83" s="11">
        <f t="shared" ref="G83:G118" si="25">ROUND($C$12*E83/SUM($E$19:$E$118), 1)</f>
        <v>105.1</v>
      </c>
      <c r="H83" s="10">
        <f t="shared" si="22"/>
        <v>0.76680425614170622</v>
      </c>
      <c r="I83" s="12">
        <f t="shared" si="23"/>
        <v>2539.4</v>
      </c>
      <c r="J83" s="13">
        <f t="shared" ref="J83:J114" si="26">I83*$C$13/H83</f>
        <v>66233.33085753546</v>
      </c>
      <c r="K83" s="12">
        <f t="shared" ref="K83:K114" si="27">$C$12-I83+H83*(J83-D83)</f>
        <v>6719.3539872773381</v>
      </c>
      <c r="L83" s="8">
        <f t="shared" ref="L83:L118" si="28">(J83*H83+$C$12)/(H83*(1+$C$14))</f>
        <v>78880.068354922754</v>
      </c>
      <c r="M83" s="14">
        <f t="shared" ref="M83:M114" si="29">(L83-D83)/D83</f>
        <v>0.17381054099587431</v>
      </c>
      <c r="N83" s="14">
        <f t="shared" ref="N83:N118" si="30">IF(OR(B83="1차",B83="2차"),0.1,IF(OR(B83="3차",B83="4차"),0.05,0.02))</f>
        <v>0.05</v>
      </c>
      <c r="O83" s="15">
        <f t="shared" ref="O83:O114" si="31">J83*(1-N83/$C$13)</f>
        <v>66067.747530391629</v>
      </c>
      <c r="P83" s="8">
        <f t="shared" ref="P83:P114" si="32">J83-O83</f>
        <v>165.58332714383141</v>
      </c>
      <c r="Q83" s="16">
        <f t="shared" ref="Q83:Q118" si="33">J83*(1+$C$15)</f>
        <v>68220.330783261525</v>
      </c>
    </row>
    <row r="84" spans="2:17" ht="17.100000000000001" customHeight="1" x14ac:dyDescent="0.3">
      <c r="B84" s="7" t="s">
        <v>52</v>
      </c>
      <c r="C84" s="7" t="s">
        <v>35</v>
      </c>
      <c r="D84" s="8">
        <f>$C$11+3250</f>
        <v>67250</v>
      </c>
      <c r="E84" s="9">
        <v>188</v>
      </c>
      <c r="F84" s="10">
        <f t="shared" si="24"/>
        <v>3.262453531598513E-2</v>
      </c>
      <c r="G84" s="11">
        <f t="shared" si="25"/>
        <v>109.7</v>
      </c>
      <c r="H84" s="10">
        <f t="shared" ref="H84:H118" si="34">H83+F84</f>
        <v>0.7994287914576913</v>
      </c>
      <c r="I84" s="12">
        <f t="shared" ref="I84:I118" si="35">I83+G84</f>
        <v>2649.1</v>
      </c>
      <c r="J84" s="13">
        <f t="shared" si="26"/>
        <v>66274.820929818859</v>
      </c>
      <c r="K84" s="12">
        <f t="shared" si="27"/>
        <v>6571.3137744702553</v>
      </c>
      <c r="L84" s="8">
        <f t="shared" si="28"/>
        <v>78391.793473120822</v>
      </c>
      <c r="M84" s="14">
        <f t="shared" si="29"/>
        <v>0.16567722636610888</v>
      </c>
      <c r="N84" s="14">
        <f t="shared" si="30"/>
        <v>0.05</v>
      </c>
      <c r="O84" s="15">
        <f t="shared" si="31"/>
        <v>66109.133877494314</v>
      </c>
      <c r="P84" s="8">
        <f t="shared" si="32"/>
        <v>165.68705232454522</v>
      </c>
      <c r="Q84" s="16">
        <f t="shared" si="33"/>
        <v>68263.065557713431</v>
      </c>
    </row>
    <row r="85" spans="2:17" ht="17.100000000000001" customHeight="1" x14ac:dyDescent="0.3">
      <c r="B85" s="7" t="s">
        <v>52</v>
      </c>
      <c r="C85" s="7" t="s">
        <v>36</v>
      </c>
      <c r="D85" s="8">
        <f>$C$11+3300</f>
        <v>67300</v>
      </c>
      <c r="E85" s="9">
        <v>196</v>
      </c>
      <c r="F85" s="10">
        <f t="shared" si="24"/>
        <v>3.399702823179792E-2</v>
      </c>
      <c r="G85" s="11">
        <f t="shared" si="25"/>
        <v>114.4</v>
      </c>
      <c r="H85" s="10">
        <f t="shared" si="34"/>
        <v>0.83342581968948926</v>
      </c>
      <c r="I85" s="12">
        <f t="shared" si="35"/>
        <v>2763.5</v>
      </c>
      <c r="J85" s="13">
        <f t="shared" si="26"/>
        <v>66316.639938743479</v>
      </c>
      <c r="K85" s="12">
        <f t="shared" si="27"/>
        <v>6416.9423348973778</v>
      </c>
      <c r="L85" s="8">
        <f t="shared" si="28"/>
        <v>77925.679883588877</v>
      </c>
      <c r="M85" s="14">
        <f t="shared" si="29"/>
        <v>0.15788528801766533</v>
      </c>
      <c r="N85" s="14">
        <f t="shared" si="30"/>
        <v>0.05</v>
      </c>
      <c r="O85" s="15">
        <f t="shared" si="31"/>
        <v>66150.848338896627</v>
      </c>
      <c r="P85" s="8">
        <f t="shared" si="32"/>
        <v>165.79159984685248</v>
      </c>
      <c r="Q85" s="16">
        <f t="shared" si="33"/>
        <v>68306.139136905782</v>
      </c>
    </row>
    <row r="86" spans="2:17" ht="17.100000000000001" customHeight="1" x14ac:dyDescent="0.3">
      <c r="B86" s="7" t="s">
        <v>52</v>
      </c>
      <c r="C86" s="7" t="s">
        <v>37</v>
      </c>
      <c r="D86" s="8">
        <f>$C$11+3350</f>
        <v>67350</v>
      </c>
      <c r="E86" s="9">
        <v>204</v>
      </c>
      <c r="F86" s="10">
        <f t="shared" si="24"/>
        <v>3.5367483296213809E-2</v>
      </c>
      <c r="G86" s="11">
        <f t="shared" si="25"/>
        <v>119.1</v>
      </c>
      <c r="H86" s="10">
        <f t="shared" si="34"/>
        <v>0.86879330298570312</v>
      </c>
      <c r="I86" s="12">
        <f t="shared" si="35"/>
        <v>2882.6</v>
      </c>
      <c r="J86" s="13">
        <f t="shared" si="26"/>
        <v>66358.70672790939</v>
      </c>
      <c r="K86" s="12">
        <f t="shared" si="27"/>
        <v>6256.1710439128929</v>
      </c>
      <c r="L86" s="8">
        <f t="shared" si="28"/>
        <v>77481.516782225808</v>
      </c>
      <c r="M86" s="14">
        <f t="shared" si="29"/>
        <v>0.15043083566779225</v>
      </c>
      <c r="N86" s="14">
        <f t="shared" si="30"/>
        <v>0.05</v>
      </c>
      <c r="O86" s="15">
        <f t="shared" si="31"/>
        <v>66192.809961089617</v>
      </c>
      <c r="P86" s="8">
        <f t="shared" si="32"/>
        <v>165.89676681977289</v>
      </c>
      <c r="Q86" s="16">
        <f t="shared" si="33"/>
        <v>68349.467929746679</v>
      </c>
    </row>
    <row r="87" spans="2:17" ht="17.100000000000001" customHeight="1" x14ac:dyDescent="0.3">
      <c r="B87" s="7" t="s">
        <v>52</v>
      </c>
      <c r="C87" s="7" t="s">
        <v>38</v>
      </c>
      <c r="D87" s="8">
        <f>$C$11+3400</f>
        <v>67400</v>
      </c>
      <c r="E87" s="9">
        <v>212</v>
      </c>
      <c r="F87" s="10">
        <f t="shared" si="24"/>
        <v>3.6735905044510388E-2</v>
      </c>
      <c r="G87" s="11">
        <f t="shared" si="25"/>
        <v>123.8</v>
      </c>
      <c r="H87" s="10">
        <f t="shared" si="34"/>
        <v>0.90552920803021353</v>
      </c>
      <c r="I87" s="12">
        <f t="shared" si="35"/>
        <v>3006.4</v>
      </c>
      <c r="J87" s="13">
        <f t="shared" si="26"/>
        <v>66400.950368896098</v>
      </c>
      <c r="K87" s="12">
        <f t="shared" si="27"/>
        <v>6088.9313787636065</v>
      </c>
      <c r="L87" s="8">
        <f t="shared" si="28"/>
        <v>77058.921853444757</v>
      </c>
      <c r="M87" s="14">
        <f t="shared" si="29"/>
        <v>0.1433074458968065</v>
      </c>
      <c r="N87" s="14">
        <f t="shared" si="30"/>
        <v>0.05</v>
      </c>
      <c r="O87" s="15">
        <f t="shared" si="31"/>
        <v>66234.947992973859</v>
      </c>
      <c r="P87" s="8">
        <f t="shared" si="32"/>
        <v>166.00237592223857</v>
      </c>
      <c r="Q87" s="16">
        <f t="shared" si="33"/>
        <v>68392.97887996299</v>
      </c>
    </row>
    <row r="88" spans="2:17" ht="17.100000000000001" customHeight="1" x14ac:dyDescent="0.3">
      <c r="B88" s="7" t="s">
        <v>52</v>
      </c>
      <c r="C88" s="7" t="s">
        <v>39</v>
      </c>
      <c r="D88" s="8">
        <f>$C$11+3450</f>
        <v>67450</v>
      </c>
      <c r="E88" s="9">
        <v>220</v>
      </c>
      <c r="F88" s="10">
        <f t="shared" si="24"/>
        <v>3.8072646404744254E-2</v>
      </c>
      <c r="G88" s="11">
        <f t="shared" si="25"/>
        <v>128.4</v>
      </c>
      <c r="H88" s="10">
        <f t="shared" si="34"/>
        <v>0.94360185443495781</v>
      </c>
      <c r="I88" s="12">
        <f t="shared" si="35"/>
        <v>3134.8</v>
      </c>
      <c r="J88" s="13">
        <f t="shared" si="26"/>
        <v>66443.277644407819</v>
      </c>
      <c r="K88" s="12">
        <f t="shared" si="27"/>
        <v>5915.2549183620886</v>
      </c>
      <c r="L88" s="8">
        <f t="shared" si="28"/>
        <v>76657.679314888359</v>
      </c>
      <c r="M88" s="14">
        <f t="shared" si="29"/>
        <v>0.13651118331932333</v>
      </c>
      <c r="N88" s="14">
        <f t="shared" si="30"/>
        <v>0.05</v>
      </c>
      <c r="O88" s="15">
        <f t="shared" si="31"/>
        <v>66277.169450296802</v>
      </c>
      <c r="P88" s="8">
        <f t="shared" si="32"/>
        <v>166.10819411101693</v>
      </c>
      <c r="Q88" s="16">
        <f t="shared" si="33"/>
        <v>68436.575973740051</v>
      </c>
    </row>
    <row r="89" spans="2:17" ht="17.100000000000001" customHeight="1" x14ac:dyDescent="0.3">
      <c r="B89" s="7" t="s">
        <v>52</v>
      </c>
      <c r="C89" s="7" t="s">
        <v>40</v>
      </c>
      <c r="D89" s="8">
        <f>$C$11+3500</f>
        <v>67500</v>
      </c>
      <c r="E89" s="9">
        <v>228</v>
      </c>
      <c r="F89" s="10">
        <f t="shared" si="24"/>
        <v>3.9437037037037034E-2</v>
      </c>
      <c r="G89" s="11">
        <f t="shared" si="25"/>
        <v>133.1</v>
      </c>
      <c r="H89" s="10">
        <f t="shared" si="34"/>
        <v>0.98303889147199486</v>
      </c>
      <c r="I89" s="12">
        <f t="shared" si="35"/>
        <v>3267.9</v>
      </c>
      <c r="J89" s="13">
        <f t="shared" si="26"/>
        <v>66485.670675891</v>
      </c>
      <c r="K89" s="12">
        <f t="shared" si="27"/>
        <v>5734.9748256403518</v>
      </c>
      <c r="L89" s="8">
        <f t="shared" si="28"/>
        <v>76276.824068308575</v>
      </c>
      <c r="M89" s="14">
        <f t="shared" si="29"/>
        <v>0.13002702323420112</v>
      </c>
      <c r="N89" s="14">
        <f t="shared" si="30"/>
        <v>0.05</v>
      </c>
      <c r="O89" s="15">
        <f t="shared" si="31"/>
        <v>66319.456499201275</v>
      </c>
      <c r="P89" s="8">
        <f t="shared" si="32"/>
        <v>166.21417668972572</v>
      </c>
      <c r="Q89" s="16">
        <f t="shared" si="33"/>
        <v>68480.240796167738</v>
      </c>
    </row>
    <row r="90" spans="2:17" ht="17.100000000000001" customHeight="1" x14ac:dyDescent="0.3">
      <c r="B90" s="7" t="s">
        <v>52</v>
      </c>
      <c r="C90" s="7" t="s">
        <v>41</v>
      </c>
      <c r="D90" s="8">
        <f>$C$11+3550</f>
        <v>67550</v>
      </c>
      <c r="E90" s="9">
        <v>236</v>
      </c>
      <c r="F90" s="10">
        <f t="shared" si="24"/>
        <v>4.079940784603997E-2</v>
      </c>
      <c r="G90" s="11">
        <f t="shared" si="25"/>
        <v>137.80000000000001</v>
      </c>
      <c r="H90" s="10">
        <f t="shared" si="34"/>
        <v>1.0238382993180348</v>
      </c>
      <c r="I90" s="12">
        <f t="shared" si="35"/>
        <v>3405.7000000000003</v>
      </c>
      <c r="J90" s="13">
        <f t="shared" si="26"/>
        <v>66528.083629387416</v>
      </c>
      <c r="K90" s="12">
        <f t="shared" si="27"/>
        <v>5548.0228810667531</v>
      </c>
      <c r="L90" s="8">
        <f t="shared" si="28"/>
        <v>75915.672607774308</v>
      </c>
      <c r="M90" s="14">
        <f t="shared" si="29"/>
        <v>0.12384415407511928</v>
      </c>
      <c r="N90" s="14">
        <f t="shared" si="30"/>
        <v>0.05</v>
      </c>
      <c r="O90" s="15">
        <f t="shared" si="31"/>
        <v>66361.763420313946</v>
      </c>
      <c r="P90" s="8">
        <f t="shared" si="32"/>
        <v>166.32020907347032</v>
      </c>
      <c r="Q90" s="16">
        <f t="shared" si="33"/>
        <v>68523.926138269046</v>
      </c>
    </row>
    <row r="91" spans="2:17" ht="17.100000000000001" customHeight="1" x14ac:dyDescent="0.3">
      <c r="B91" s="7" t="s">
        <v>52</v>
      </c>
      <c r="C91" s="7" t="s">
        <v>42</v>
      </c>
      <c r="D91" s="8">
        <f>$C$11+3600</f>
        <v>67600</v>
      </c>
      <c r="E91" s="9">
        <v>244</v>
      </c>
      <c r="F91" s="10">
        <f t="shared" si="24"/>
        <v>4.2130177514792901E-2</v>
      </c>
      <c r="G91" s="11">
        <f t="shared" si="25"/>
        <v>142.4</v>
      </c>
      <c r="H91" s="10">
        <f t="shared" si="34"/>
        <v>1.0659684768328277</v>
      </c>
      <c r="I91" s="12">
        <f t="shared" si="35"/>
        <v>3548.1000000000004</v>
      </c>
      <c r="J91" s="13">
        <f t="shared" si="26"/>
        <v>66570.448884980244</v>
      </c>
      <c r="K91" s="12">
        <f t="shared" si="27"/>
        <v>5354.4309661008501</v>
      </c>
      <c r="L91" s="8">
        <f t="shared" si="28"/>
        <v>75573.720734645452</v>
      </c>
      <c r="M91" s="14">
        <f t="shared" si="29"/>
        <v>0.11795444873735876</v>
      </c>
      <c r="N91" s="14">
        <f t="shared" si="30"/>
        <v>0.05</v>
      </c>
      <c r="O91" s="15">
        <f t="shared" si="31"/>
        <v>66404.022762767796</v>
      </c>
      <c r="P91" s="8">
        <f t="shared" si="32"/>
        <v>166.42612221244781</v>
      </c>
      <c r="Q91" s="16">
        <f t="shared" si="33"/>
        <v>68567.562351529647</v>
      </c>
    </row>
    <row r="92" spans="2:17" ht="17.100000000000001" customHeight="1" x14ac:dyDescent="0.3">
      <c r="B92" s="7" t="s">
        <v>52</v>
      </c>
      <c r="C92" s="7" t="s">
        <v>43</v>
      </c>
      <c r="D92" s="8">
        <f>$C$11+3650</f>
        <v>67650</v>
      </c>
      <c r="E92" s="9">
        <v>252</v>
      </c>
      <c r="F92" s="10">
        <f t="shared" si="24"/>
        <v>4.3488543976348853E-2</v>
      </c>
      <c r="G92" s="11">
        <f t="shared" si="25"/>
        <v>147.1</v>
      </c>
      <c r="H92" s="10">
        <f t="shared" si="34"/>
        <v>1.1094570208091765</v>
      </c>
      <c r="I92" s="12">
        <f t="shared" si="35"/>
        <v>3695.2000000000003</v>
      </c>
      <c r="J92" s="13">
        <f t="shared" si="26"/>
        <v>66612.765175976368</v>
      </c>
      <c r="K92" s="12">
        <f t="shared" si="27"/>
        <v>5154.0325422592105</v>
      </c>
      <c r="L92" s="8">
        <f t="shared" si="28"/>
        <v>75249.933614633075</v>
      </c>
      <c r="M92" s="14">
        <f t="shared" si="29"/>
        <v>0.11234196030499742</v>
      </c>
      <c r="N92" s="14">
        <f t="shared" si="30"/>
        <v>0.05</v>
      </c>
      <c r="O92" s="15">
        <f t="shared" si="31"/>
        <v>66446.233263036425</v>
      </c>
      <c r="P92" s="8">
        <f t="shared" si="32"/>
        <v>166.53191293994314</v>
      </c>
      <c r="Q92" s="16">
        <f t="shared" si="33"/>
        <v>68611.148131255657</v>
      </c>
    </row>
    <row r="93" spans="2:17" ht="17.100000000000001" customHeight="1" x14ac:dyDescent="0.3">
      <c r="B93" s="7" t="s">
        <v>52</v>
      </c>
      <c r="C93" s="7" t="s">
        <v>44</v>
      </c>
      <c r="D93" s="8">
        <f>$C$11+3700</f>
        <v>67700</v>
      </c>
      <c r="E93" s="9">
        <v>260</v>
      </c>
      <c r="F93" s="10">
        <f t="shared" si="24"/>
        <v>4.4844903988183159E-2</v>
      </c>
      <c r="G93" s="11">
        <f t="shared" si="25"/>
        <v>151.80000000000001</v>
      </c>
      <c r="H93" s="10">
        <f t="shared" si="34"/>
        <v>1.1543019247973596</v>
      </c>
      <c r="I93" s="12">
        <f t="shared" si="35"/>
        <v>3847.0000000000005</v>
      </c>
      <c r="J93" s="13">
        <f t="shared" si="26"/>
        <v>66655.00450716741</v>
      </c>
      <c r="K93" s="12">
        <f t="shared" si="27"/>
        <v>4946.7596912187764</v>
      </c>
      <c r="L93" s="8">
        <f t="shared" si="28"/>
        <v>74943.531521662997</v>
      </c>
      <c r="M93" s="14">
        <f t="shared" si="29"/>
        <v>0.10699455718852285</v>
      </c>
      <c r="N93" s="14">
        <f t="shared" si="30"/>
        <v>0.05</v>
      </c>
      <c r="O93" s="15">
        <f t="shared" si="31"/>
        <v>66488.366995899501</v>
      </c>
      <c r="P93" s="8">
        <f t="shared" si="32"/>
        <v>166.63751126790885</v>
      </c>
      <c r="Q93" s="16">
        <f t="shared" si="33"/>
        <v>68654.654642382433</v>
      </c>
    </row>
    <row r="94" spans="2:17" ht="17.100000000000001" customHeight="1" x14ac:dyDescent="0.3">
      <c r="B94" s="7" t="s">
        <v>52</v>
      </c>
      <c r="C94" s="7" t="s">
        <v>45</v>
      </c>
      <c r="D94" s="8">
        <f>$C$11+3750</f>
        <v>67750</v>
      </c>
      <c r="E94" s="9">
        <v>268</v>
      </c>
      <c r="F94" s="10">
        <f t="shared" si="24"/>
        <v>4.6199261992619929E-2</v>
      </c>
      <c r="G94" s="11">
        <f t="shared" si="25"/>
        <v>156.5</v>
      </c>
      <c r="H94" s="10">
        <f t="shared" si="34"/>
        <v>1.2005011867899795</v>
      </c>
      <c r="I94" s="12">
        <f t="shared" si="35"/>
        <v>4003.5000000000005</v>
      </c>
      <c r="J94" s="13">
        <f t="shared" si="26"/>
        <v>66697.143560598401</v>
      </c>
      <c r="K94" s="12">
        <f t="shared" si="27"/>
        <v>4732.5445949789082</v>
      </c>
      <c r="L94" s="8">
        <f t="shared" si="28"/>
        <v>74653.729236956206</v>
      </c>
      <c r="M94" s="14">
        <f t="shared" si="29"/>
        <v>0.10190006253809898</v>
      </c>
      <c r="N94" s="14">
        <f t="shared" si="30"/>
        <v>0.05</v>
      </c>
      <c r="O94" s="15">
        <f t="shared" si="31"/>
        <v>66530.400701696912</v>
      </c>
      <c r="P94" s="8">
        <f t="shared" si="32"/>
        <v>166.74285890148894</v>
      </c>
      <c r="Q94" s="16">
        <f t="shared" si="33"/>
        <v>68698.057867416355</v>
      </c>
    </row>
    <row r="95" spans="2:17" ht="17.100000000000001" customHeight="1" x14ac:dyDescent="0.3">
      <c r="B95" s="7" t="s">
        <v>52</v>
      </c>
      <c r="C95" s="7" t="s">
        <v>46</v>
      </c>
      <c r="D95" s="8">
        <f>$C$11+3800</f>
        <v>67800</v>
      </c>
      <c r="E95" s="9">
        <v>276</v>
      </c>
      <c r="F95" s="10">
        <f t="shared" si="24"/>
        <v>4.7522123893805307E-2</v>
      </c>
      <c r="G95" s="11">
        <f t="shared" si="25"/>
        <v>161.1</v>
      </c>
      <c r="H95" s="10">
        <f t="shared" si="34"/>
        <v>1.2480233106837848</v>
      </c>
      <c r="I95" s="12">
        <f t="shared" si="35"/>
        <v>4164.6000000000004</v>
      </c>
      <c r="J95" s="13">
        <f t="shared" si="26"/>
        <v>66739.138032898438</v>
      </c>
      <c r="K95" s="12">
        <f t="shared" si="27"/>
        <v>4511.4195356393957</v>
      </c>
      <c r="L95" s="8">
        <f t="shared" si="28"/>
        <v>74379.909334912649</v>
      </c>
      <c r="M95" s="14">
        <f t="shared" si="29"/>
        <v>9.70488102494491E-2</v>
      </c>
      <c r="N95" s="14">
        <f t="shared" si="30"/>
        <v>0.05</v>
      </c>
      <c r="O95" s="15">
        <f t="shared" si="31"/>
        <v>66572.290187816194</v>
      </c>
      <c r="P95" s="8">
        <f t="shared" si="32"/>
        <v>166.84784508224402</v>
      </c>
      <c r="Q95" s="16">
        <f t="shared" si="33"/>
        <v>68741.312173885395</v>
      </c>
    </row>
    <row r="96" spans="2:17" ht="17.100000000000001" customHeight="1" x14ac:dyDescent="0.3">
      <c r="B96" s="7" t="s">
        <v>52</v>
      </c>
      <c r="C96" s="7" t="s">
        <v>47</v>
      </c>
      <c r="D96" s="8">
        <f>$C$11+3850</f>
        <v>67850</v>
      </c>
      <c r="E96" s="9">
        <v>284</v>
      </c>
      <c r="F96" s="10">
        <f t="shared" si="24"/>
        <v>4.8872512896094324E-2</v>
      </c>
      <c r="G96" s="11">
        <f t="shared" si="25"/>
        <v>165.8</v>
      </c>
      <c r="H96" s="10">
        <f t="shared" si="34"/>
        <v>1.2968958235798791</v>
      </c>
      <c r="I96" s="12">
        <f t="shared" si="35"/>
        <v>4330.4000000000005</v>
      </c>
      <c r="J96" s="13">
        <f t="shared" si="26"/>
        <v>66781.000004250236</v>
      </c>
      <c r="K96" s="12">
        <f t="shared" si="27"/>
        <v>4283.2183701052218</v>
      </c>
      <c r="L96" s="8">
        <f t="shared" si="28"/>
        <v>74121.113998759742</v>
      </c>
      <c r="M96" s="14">
        <f t="shared" si="29"/>
        <v>9.2426145891816386E-2</v>
      </c>
      <c r="N96" s="14">
        <f t="shared" si="30"/>
        <v>0.05</v>
      </c>
      <c r="O96" s="15">
        <f t="shared" si="31"/>
        <v>66614.047504239614</v>
      </c>
      <c r="P96" s="8">
        <f t="shared" si="32"/>
        <v>166.95250001062232</v>
      </c>
      <c r="Q96" s="16">
        <f t="shared" si="33"/>
        <v>68784.430004377748</v>
      </c>
    </row>
    <row r="97" spans="2:17" ht="17.100000000000001" customHeight="1" x14ac:dyDescent="0.3">
      <c r="B97" s="7" t="s">
        <v>52</v>
      </c>
      <c r="C97" s="7" t="s">
        <v>48</v>
      </c>
      <c r="D97" s="8">
        <f>$C$11+3900</f>
        <v>67900</v>
      </c>
      <c r="E97" s="9">
        <v>292</v>
      </c>
      <c r="F97" s="10">
        <f t="shared" si="24"/>
        <v>5.0220913107511048E-2</v>
      </c>
      <c r="G97" s="11">
        <f t="shared" si="25"/>
        <v>170.5</v>
      </c>
      <c r="H97" s="10">
        <f t="shared" si="34"/>
        <v>1.3471167366873902</v>
      </c>
      <c r="I97" s="12">
        <f t="shared" si="35"/>
        <v>4500.9000000000005</v>
      </c>
      <c r="J97" s="13">
        <f t="shared" si="26"/>
        <v>66822.716657323705</v>
      </c>
      <c r="K97" s="12">
        <f t="shared" si="27"/>
        <v>4047.8735789262246</v>
      </c>
      <c r="L97" s="8">
        <f t="shared" si="28"/>
        <v>73876.595323635134</v>
      </c>
      <c r="M97" s="14">
        <f t="shared" si="29"/>
        <v>8.8020549685348073E-2</v>
      </c>
      <c r="N97" s="14">
        <f t="shared" si="30"/>
        <v>0.05</v>
      </c>
      <c r="O97" s="15">
        <f t="shared" si="31"/>
        <v>66655.659865680398</v>
      </c>
      <c r="P97" s="8">
        <f t="shared" si="32"/>
        <v>167.0567916433065</v>
      </c>
      <c r="Q97" s="16">
        <f t="shared" si="33"/>
        <v>68827.398157043412</v>
      </c>
    </row>
    <row r="98" spans="2:17" ht="17.100000000000001" customHeight="1" x14ac:dyDescent="0.3">
      <c r="B98" s="7" t="s">
        <v>52</v>
      </c>
      <c r="C98" s="7" t="s">
        <v>49</v>
      </c>
      <c r="D98" s="8">
        <f>$C$11+3950</f>
        <v>67950</v>
      </c>
      <c r="E98" s="9">
        <v>300</v>
      </c>
      <c r="F98" s="10">
        <f t="shared" si="24"/>
        <v>5.1537895511405446E-2</v>
      </c>
      <c r="G98" s="11">
        <f t="shared" si="25"/>
        <v>175.1</v>
      </c>
      <c r="H98" s="10">
        <f t="shared" si="34"/>
        <v>1.3986546321987956</v>
      </c>
      <c r="I98" s="12">
        <f t="shared" si="35"/>
        <v>4676.0000000000009</v>
      </c>
      <c r="J98" s="13">
        <f t="shared" si="26"/>
        <v>66864.255011245477</v>
      </c>
      <c r="K98" s="12">
        <f t="shared" si="27"/>
        <v>3805.4177420918568</v>
      </c>
      <c r="L98" s="8">
        <f t="shared" si="28"/>
        <v>73645.754107607092</v>
      </c>
      <c r="M98" s="14">
        <f t="shared" si="29"/>
        <v>8.3822724173761479E-2</v>
      </c>
      <c r="N98" s="14">
        <f t="shared" si="30"/>
        <v>0.05</v>
      </c>
      <c r="O98" s="15">
        <f t="shared" si="31"/>
        <v>66697.094373717366</v>
      </c>
      <c r="P98" s="8">
        <f t="shared" si="32"/>
        <v>167.16063752811169</v>
      </c>
      <c r="Q98" s="16">
        <f t="shared" si="33"/>
        <v>68870.182661582847</v>
      </c>
    </row>
    <row r="99" spans="2:17" ht="17.100000000000001" customHeight="1" x14ac:dyDescent="0.3">
      <c r="B99" s="7" t="s">
        <v>53</v>
      </c>
      <c r="C99" s="7" t="s">
        <v>30</v>
      </c>
      <c r="D99" s="8">
        <f>$C$11+4000</f>
        <v>68000</v>
      </c>
      <c r="E99" s="9">
        <v>304</v>
      </c>
      <c r="F99" s="10">
        <f t="shared" si="24"/>
        <v>5.2205882352941178E-2</v>
      </c>
      <c r="G99" s="11">
        <f t="shared" si="25"/>
        <v>177.5</v>
      </c>
      <c r="H99" s="10">
        <f t="shared" si="34"/>
        <v>1.4508605145517368</v>
      </c>
      <c r="I99" s="12">
        <f t="shared" si="35"/>
        <v>4853.5000000000009</v>
      </c>
      <c r="J99" s="13">
        <f t="shared" si="26"/>
        <v>66905.122185361222</v>
      </c>
      <c r="K99" s="12">
        <f t="shared" si="27"/>
        <v>3557.9850104819011</v>
      </c>
      <c r="L99" s="8">
        <f t="shared" si="28"/>
        <v>73430.431364211458</v>
      </c>
      <c r="M99" s="14">
        <f t="shared" si="29"/>
        <v>7.985928476781555E-2</v>
      </c>
      <c r="N99" s="14">
        <f t="shared" si="30"/>
        <v>0.02</v>
      </c>
      <c r="O99" s="15">
        <f t="shared" si="31"/>
        <v>66838.217063175864</v>
      </c>
      <c r="P99" s="8">
        <f t="shared" si="32"/>
        <v>66.905122185358778</v>
      </c>
      <c r="Q99" s="16">
        <f t="shared" si="33"/>
        <v>68912.275850922058</v>
      </c>
    </row>
    <row r="100" spans="2:17" ht="17.100000000000001" customHeight="1" x14ac:dyDescent="0.3">
      <c r="B100" s="7" t="s">
        <v>53</v>
      </c>
      <c r="C100" s="7" t="s">
        <v>31</v>
      </c>
      <c r="D100" s="8">
        <f>$C$11+4050</f>
        <v>68050</v>
      </c>
      <c r="E100" s="9">
        <v>320</v>
      </c>
      <c r="F100" s="10">
        <f t="shared" si="24"/>
        <v>5.4900808229243203E-2</v>
      </c>
      <c r="G100" s="11">
        <f t="shared" si="25"/>
        <v>186.8</v>
      </c>
      <c r="H100" s="10">
        <f t="shared" si="34"/>
        <v>1.5057613227809801</v>
      </c>
      <c r="I100" s="12">
        <f t="shared" si="35"/>
        <v>5040.3000000000011</v>
      </c>
      <c r="J100" s="13">
        <f t="shared" si="26"/>
        <v>66946.865001036247</v>
      </c>
      <c r="K100" s="12">
        <f t="shared" si="27"/>
        <v>3298.641984754343</v>
      </c>
      <c r="L100" s="8">
        <f t="shared" si="28"/>
        <v>73221.914190577416</v>
      </c>
      <c r="M100" s="14">
        <f t="shared" si="29"/>
        <v>7.6001678039344836E-2</v>
      </c>
      <c r="N100" s="14">
        <f t="shared" si="30"/>
        <v>0.02</v>
      </c>
      <c r="O100" s="15">
        <f t="shared" si="31"/>
        <v>66879.918136035209</v>
      </c>
      <c r="P100" s="8">
        <f t="shared" si="32"/>
        <v>66.946865001038532</v>
      </c>
      <c r="Q100" s="16">
        <f t="shared" si="33"/>
        <v>68955.27095106733</v>
      </c>
    </row>
    <row r="101" spans="2:17" ht="17.100000000000001" customHeight="1" x14ac:dyDescent="0.3">
      <c r="B101" s="7" t="s">
        <v>53</v>
      </c>
      <c r="C101" s="7" t="s">
        <v>32</v>
      </c>
      <c r="D101" s="8">
        <f>$C$11+4100</f>
        <v>68100</v>
      </c>
      <c r="E101" s="9">
        <v>336</v>
      </c>
      <c r="F101" s="10">
        <f t="shared" si="24"/>
        <v>5.759177679882526E-2</v>
      </c>
      <c r="G101" s="11">
        <f t="shared" si="25"/>
        <v>196.1</v>
      </c>
      <c r="H101" s="10">
        <f t="shared" si="34"/>
        <v>1.5633530995798053</v>
      </c>
      <c r="I101" s="12">
        <f t="shared" si="35"/>
        <v>5236.4000000000015</v>
      </c>
      <c r="J101" s="13">
        <f t="shared" si="26"/>
        <v>66989.344907525112</v>
      </c>
      <c r="K101" s="12">
        <f t="shared" si="27"/>
        <v>3027.2539186152871</v>
      </c>
      <c r="L101" s="8">
        <f t="shared" si="28"/>
        <v>73020.748774561056</v>
      </c>
      <c r="M101" s="14">
        <f t="shared" si="29"/>
        <v>7.2257691256403175E-2</v>
      </c>
      <c r="N101" s="14">
        <f t="shared" si="30"/>
        <v>0.02</v>
      </c>
      <c r="O101" s="15">
        <f t="shared" si="31"/>
        <v>66922.35556261758</v>
      </c>
      <c r="P101" s="8">
        <f t="shared" si="32"/>
        <v>66.989344907531631</v>
      </c>
      <c r="Q101" s="16">
        <f t="shared" si="33"/>
        <v>68999.025254750872</v>
      </c>
    </row>
    <row r="102" spans="2:17" ht="17.100000000000001" customHeight="1" x14ac:dyDescent="0.3">
      <c r="B102" s="7" t="s">
        <v>53</v>
      </c>
      <c r="C102" s="7" t="s">
        <v>33</v>
      </c>
      <c r="D102" s="8">
        <f>$C$11+4150</f>
        <v>68150</v>
      </c>
      <c r="E102" s="9">
        <v>352</v>
      </c>
      <c r="F102" s="10">
        <f t="shared" si="24"/>
        <v>6.0308143800440209E-2</v>
      </c>
      <c r="G102" s="11">
        <f t="shared" si="25"/>
        <v>205.5</v>
      </c>
      <c r="H102" s="10">
        <f t="shared" si="34"/>
        <v>1.6236612433802455</v>
      </c>
      <c r="I102" s="12">
        <f t="shared" si="35"/>
        <v>5441.9000000000015</v>
      </c>
      <c r="J102" s="13">
        <f t="shared" si="26"/>
        <v>67032.455472924805</v>
      </c>
      <c r="K102" s="12">
        <f t="shared" si="27"/>
        <v>2743.5862636362986</v>
      </c>
      <c r="L102" s="8">
        <f t="shared" si="28"/>
        <v>72827.239457277625</v>
      </c>
      <c r="M102" s="14">
        <f t="shared" si="29"/>
        <v>6.8631540092114821E-2</v>
      </c>
      <c r="N102" s="14">
        <f t="shared" si="30"/>
        <v>0.02</v>
      </c>
      <c r="O102" s="15">
        <f t="shared" si="31"/>
        <v>66965.423017451874</v>
      </c>
      <c r="P102" s="8">
        <f t="shared" si="32"/>
        <v>67.032455472930451</v>
      </c>
      <c r="Q102" s="16">
        <f t="shared" si="33"/>
        <v>69043.429137112544</v>
      </c>
    </row>
    <row r="103" spans="2:17" ht="17.100000000000001" customHeight="1" x14ac:dyDescent="0.3">
      <c r="B103" s="7" t="s">
        <v>53</v>
      </c>
      <c r="C103" s="7" t="s">
        <v>34</v>
      </c>
      <c r="D103" s="8">
        <f>$C$11+4200</f>
        <v>68200</v>
      </c>
      <c r="E103" s="9">
        <v>368</v>
      </c>
      <c r="F103" s="10">
        <f t="shared" si="24"/>
        <v>6.2991202346041053E-2</v>
      </c>
      <c r="G103" s="11">
        <f t="shared" si="25"/>
        <v>214.8</v>
      </c>
      <c r="H103" s="10">
        <f t="shared" si="34"/>
        <v>1.6866524457262866</v>
      </c>
      <c r="I103" s="12">
        <f t="shared" si="35"/>
        <v>5656.7000000000016</v>
      </c>
      <c r="J103" s="13">
        <f t="shared" si="26"/>
        <v>67076.059615402031</v>
      </c>
      <c r="K103" s="12">
        <f t="shared" si="27"/>
        <v>2447.6032014672915</v>
      </c>
      <c r="L103" s="8">
        <f t="shared" si="28"/>
        <v>72641.754586296651</v>
      </c>
      <c r="M103" s="14">
        <f t="shared" si="29"/>
        <v>6.5128366367986079E-2</v>
      </c>
      <c r="N103" s="14">
        <f t="shared" si="30"/>
        <v>0.02</v>
      </c>
      <c r="O103" s="15">
        <f t="shared" si="31"/>
        <v>67008.983555786632</v>
      </c>
      <c r="P103" s="8">
        <f t="shared" si="32"/>
        <v>67.076059615399572</v>
      </c>
      <c r="Q103" s="16">
        <f t="shared" si="33"/>
        <v>69088.341403864091</v>
      </c>
    </row>
    <row r="104" spans="2:17" ht="17.100000000000001" customHeight="1" x14ac:dyDescent="0.3">
      <c r="B104" s="7" t="s">
        <v>53</v>
      </c>
      <c r="C104" s="7" t="s">
        <v>35</v>
      </c>
      <c r="D104" s="8">
        <f>$C$11+4250</f>
        <v>68250</v>
      </c>
      <c r="E104" s="9">
        <v>384</v>
      </c>
      <c r="F104" s="10">
        <f t="shared" si="24"/>
        <v>6.5699633699633705E-2</v>
      </c>
      <c r="G104" s="11">
        <f t="shared" si="25"/>
        <v>224.2</v>
      </c>
      <c r="H104" s="10">
        <f t="shared" si="34"/>
        <v>1.7523520794259202</v>
      </c>
      <c r="I104" s="12">
        <f t="shared" si="35"/>
        <v>5880.9000000000015</v>
      </c>
      <c r="J104" s="13">
        <f t="shared" si="26"/>
        <v>67120.073289456937</v>
      </c>
      <c r="K104" s="12">
        <f t="shared" si="27"/>
        <v>2139.0705791809728</v>
      </c>
      <c r="L104" s="8">
        <f t="shared" si="28"/>
        <v>72464.36721706907</v>
      </c>
      <c r="M104" s="14">
        <f t="shared" si="29"/>
        <v>6.1748970213466224E-2</v>
      </c>
      <c r="N104" s="14">
        <f t="shared" si="30"/>
        <v>0.02</v>
      </c>
      <c r="O104" s="15">
        <f t="shared" si="31"/>
        <v>67052.953216167487</v>
      </c>
      <c r="P104" s="8">
        <f t="shared" si="32"/>
        <v>67.120073289450374</v>
      </c>
      <c r="Q104" s="16">
        <f t="shared" si="33"/>
        <v>69133.675488140652</v>
      </c>
    </row>
    <row r="105" spans="2:17" ht="17.100000000000001" customHeight="1" x14ac:dyDescent="0.3">
      <c r="B105" s="7" t="s">
        <v>53</v>
      </c>
      <c r="C105" s="7" t="s">
        <v>36</v>
      </c>
      <c r="D105" s="8">
        <f>$C$11+4300</f>
        <v>68300</v>
      </c>
      <c r="E105" s="9">
        <v>400</v>
      </c>
      <c r="F105" s="10">
        <f t="shared" si="24"/>
        <v>6.8374816983894582E-2</v>
      </c>
      <c r="G105" s="11">
        <f t="shared" si="25"/>
        <v>233.5</v>
      </c>
      <c r="H105" s="10">
        <f t="shared" si="34"/>
        <v>1.8207268964098149</v>
      </c>
      <c r="I105" s="12">
        <f t="shared" si="35"/>
        <v>6114.4000000000015</v>
      </c>
      <c r="J105" s="13">
        <f t="shared" si="26"/>
        <v>67164.383764051934</v>
      </c>
      <c r="K105" s="12">
        <f t="shared" si="27"/>
        <v>1817.9529752096805</v>
      </c>
      <c r="L105" s="8">
        <f t="shared" si="28"/>
        <v>72295.219566329222</v>
      </c>
      <c r="M105" s="14">
        <f t="shared" si="29"/>
        <v>5.8495162025318043E-2</v>
      </c>
      <c r="N105" s="14">
        <f t="shared" si="30"/>
        <v>0.02</v>
      </c>
      <c r="O105" s="15">
        <f t="shared" si="31"/>
        <v>67097.219380287876</v>
      </c>
      <c r="P105" s="8">
        <f t="shared" si="32"/>
        <v>67.164383764058584</v>
      </c>
      <c r="Q105" s="16">
        <f t="shared" si="33"/>
        <v>69179.315276973488</v>
      </c>
    </row>
    <row r="106" spans="2:17" ht="17.100000000000001" customHeight="1" x14ac:dyDescent="0.3">
      <c r="B106" s="7" t="s">
        <v>53</v>
      </c>
      <c r="C106" s="7" t="s">
        <v>37</v>
      </c>
      <c r="D106" s="8">
        <f>$C$11+4350</f>
        <v>68350</v>
      </c>
      <c r="E106" s="9">
        <v>416</v>
      </c>
      <c r="F106" s="10">
        <f t="shared" si="24"/>
        <v>7.1046086320409652E-2</v>
      </c>
      <c r="G106" s="11">
        <f t="shared" si="25"/>
        <v>242.8</v>
      </c>
      <c r="H106" s="10">
        <f t="shared" si="34"/>
        <v>1.8917729827302245</v>
      </c>
      <c r="I106" s="12">
        <f t="shared" si="35"/>
        <v>6357.2000000000016</v>
      </c>
      <c r="J106" s="13">
        <f t="shared" si="26"/>
        <v>67208.909927714805</v>
      </c>
      <c r="K106" s="12">
        <f t="shared" si="27"/>
        <v>1484.1166303891878</v>
      </c>
      <c r="L106" s="8">
        <f t="shared" si="28"/>
        <v>72134.285026814279</v>
      </c>
      <c r="M106" s="14">
        <f t="shared" si="29"/>
        <v>5.5366276910230862E-2</v>
      </c>
      <c r="N106" s="14">
        <f t="shared" si="30"/>
        <v>0.02</v>
      </c>
      <c r="O106" s="15">
        <f t="shared" si="31"/>
        <v>67141.701017787083</v>
      </c>
      <c r="P106" s="8">
        <f t="shared" si="32"/>
        <v>67.208909927721834</v>
      </c>
      <c r="Q106" s="16">
        <f t="shared" si="33"/>
        <v>69225.177225546257</v>
      </c>
    </row>
    <row r="107" spans="2:17" ht="17.100000000000001" customHeight="1" x14ac:dyDescent="0.3">
      <c r="B107" s="7" t="s">
        <v>53</v>
      </c>
      <c r="C107" s="7" t="s">
        <v>38</v>
      </c>
      <c r="D107" s="8">
        <f>$C$11+4400</f>
        <v>68400</v>
      </c>
      <c r="E107" s="9">
        <v>432</v>
      </c>
      <c r="F107" s="10">
        <f t="shared" si="24"/>
        <v>7.3742690058479526E-2</v>
      </c>
      <c r="G107" s="11">
        <f t="shared" si="25"/>
        <v>252.2</v>
      </c>
      <c r="H107" s="10">
        <f t="shared" si="34"/>
        <v>1.965515672788704</v>
      </c>
      <c r="I107" s="12">
        <f t="shared" si="35"/>
        <v>6609.4000000000015</v>
      </c>
      <c r="J107" s="13">
        <f t="shared" si="26"/>
        <v>67253.597531710169</v>
      </c>
      <c r="K107" s="12">
        <f t="shared" si="27"/>
        <v>1137.3279812526812</v>
      </c>
      <c r="L107" s="8">
        <f t="shared" si="28"/>
        <v>71981.413821132533</v>
      </c>
      <c r="M107" s="14">
        <f t="shared" si="29"/>
        <v>5.2359851186148151E-2</v>
      </c>
      <c r="N107" s="14">
        <f t="shared" si="30"/>
        <v>0.02</v>
      </c>
      <c r="O107" s="15">
        <f t="shared" si="31"/>
        <v>67186.343934178454</v>
      </c>
      <c r="P107" s="8">
        <f t="shared" si="32"/>
        <v>67.253597531715059</v>
      </c>
      <c r="Q107" s="16">
        <f t="shared" si="33"/>
        <v>69271.205457661476</v>
      </c>
    </row>
    <row r="108" spans="2:17" ht="17.100000000000001" customHeight="1" x14ac:dyDescent="0.3">
      <c r="B108" s="7" t="s">
        <v>53</v>
      </c>
      <c r="C108" s="7" t="s">
        <v>39</v>
      </c>
      <c r="D108" s="8">
        <f>$C$11+4450</f>
        <v>68450</v>
      </c>
      <c r="E108" s="9">
        <v>448</v>
      </c>
      <c r="F108" s="10">
        <f t="shared" si="24"/>
        <v>7.6406135865595332E-2</v>
      </c>
      <c r="G108" s="11">
        <f t="shared" si="25"/>
        <v>261.5</v>
      </c>
      <c r="H108" s="10">
        <f t="shared" si="34"/>
        <v>2.0419218086542994</v>
      </c>
      <c r="I108" s="12">
        <f t="shared" si="35"/>
        <v>6870.9000000000015</v>
      </c>
      <c r="J108" s="13">
        <f t="shared" si="26"/>
        <v>67298.365401446732</v>
      </c>
      <c r="K108" s="12">
        <f t="shared" si="27"/>
        <v>777.55219761324133</v>
      </c>
      <c r="L108" s="8">
        <f t="shared" si="28"/>
        <v>71836.5299262357</v>
      </c>
      <c r="M108" s="14">
        <f t="shared" si="29"/>
        <v>4.9474505861734117E-2</v>
      </c>
      <c r="N108" s="14">
        <f t="shared" si="30"/>
        <v>0.02</v>
      </c>
      <c r="O108" s="15">
        <f t="shared" si="31"/>
        <v>67231.067036045279</v>
      </c>
      <c r="P108" s="8">
        <f t="shared" si="32"/>
        <v>67.298365401453339</v>
      </c>
      <c r="Q108" s="16">
        <f t="shared" si="33"/>
        <v>69317.316363490143</v>
      </c>
    </row>
    <row r="109" spans="2:17" ht="17.100000000000001" customHeight="1" x14ac:dyDescent="0.3">
      <c r="B109" s="7" t="s">
        <v>53</v>
      </c>
      <c r="C109" s="7" t="s">
        <v>40</v>
      </c>
      <c r="D109" s="8">
        <f>$C$11+4500</f>
        <v>68500</v>
      </c>
      <c r="E109" s="9">
        <v>464</v>
      </c>
      <c r="F109" s="10">
        <f t="shared" si="24"/>
        <v>7.9094890510948909E-2</v>
      </c>
      <c r="G109" s="11">
        <f t="shared" si="25"/>
        <v>270.89999999999998</v>
      </c>
      <c r="H109" s="10">
        <f t="shared" si="34"/>
        <v>2.1210166991652484</v>
      </c>
      <c r="I109" s="12">
        <f t="shared" si="35"/>
        <v>7141.8000000000011</v>
      </c>
      <c r="J109" s="13">
        <f t="shared" si="26"/>
        <v>67343.175589430699</v>
      </c>
      <c r="K109" s="12">
        <f t="shared" si="27"/>
        <v>404.55610718051594</v>
      </c>
      <c r="L109" s="8">
        <f t="shared" si="28"/>
        <v>71699.398665931527</v>
      </c>
      <c r="M109" s="14">
        <f t="shared" si="29"/>
        <v>4.670654986761353E-2</v>
      </c>
      <c r="N109" s="14">
        <f t="shared" si="30"/>
        <v>0.02</v>
      </c>
      <c r="O109" s="15">
        <f t="shared" si="31"/>
        <v>67275.832413841272</v>
      </c>
      <c r="P109" s="8">
        <f t="shared" si="32"/>
        <v>67.343175589427119</v>
      </c>
      <c r="Q109" s="16">
        <f t="shared" si="33"/>
        <v>69363.470857113629</v>
      </c>
    </row>
    <row r="110" spans="2:17" ht="17.100000000000001" customHeight="1" x14ac:dyDescent="0.3">
      <c r="B110" s="7" t="s">
        <v>53</v>
      </c>
      <c r="C110" s="7" t="s">
        <v>41</v>
      </c>
      <c r="D110" s="8">
        <f>$C$11+4550</f>
        <v>68550</v>
      </c>
      <c r="E110" s="9">
        <v>480</v>
      </c>
      <c r="F110" s="10">
        <f t="shared" si="24"/>
        <v>8.175054704595186E-2</v>
      </c>
      <c r="G110" s="11">
        <f t="shared" si="25"/>
        <v>280.2</v>
      </c>
      <c r="H110" s="10">
        <f t="shared" si="34"/>
        <v>2.2027672462112005</v>
      </c>
      <c r="I110" s="12">
        <f t="shared" si="35"/>
        <v>7422.0000000000009</v>
      </c>
      <c r="J110" s="13">
        <f t="shared" si="26"/>
        <v>67387.964050818133</v>
      </c>
      <c r="K110" s="12">
        <f t="shared" si="27"/>
        <v>18.305272222239182</v>
      </c>
      <c r="L110" s="8">
        <f t="shared" si="28"/>
        <v>71569.859032857988</v>
      </c>
      <c r="M110" s="14">
        <f t="shared" si="29"/>
        <v>4.4053377576338273E-2</v>
      </c>
      <c r="N110" s="14">
        <f t="shared" si="30"/>
        <v>0.02</v>
      </c>
      <c r="O110" s="15">
        <f t="shared" si="31"/>
        <v>67320.576086767309</v>
      </c>
      <c r="P110" s="8">
        <f t="shared" si="32"/>
        <v>67.387964050823939</v>
      </c>
      <c r="Q110" s="16">
        <f t="shared" si="33"/>
        <v>69409.602972342676</v>
      </c>
    </row>
    <row r="111" spans="2:17" ht="17.100000000000001" customHeight="1" x14ac:dyDescent="0.3">
      <c r="B111" s="7" t="s">
        <v>53</v>
      </c>
      <c r="C111" s="7" t="s">
        <v>42</v>
      </c>
      <c r="D111" s="8">
        <f>$C$11+4600</f>
        <v>68600</v>
      </c>
      <c r="E111" s="9">
        <v>496</v>
      </c>
      <c r="F111" s="10">
        <f t="shared" si="24"/>
        <v>8.4431486880466478E-2</v>
      </c>
      <c r="G111" s="11">
        <f t="shared" si="25"/>
        <v>289.60000000000002</v>
      </c>
      <c r="H111" s="10">
        <f t="shared" si="34"/>
        <v>2.287198733091667</v>
      </c>
      <c r="I111" s="12">
        <f t="shared" si="35"/>
        <v>7711.6000000000013</v>
      </c>
      <c r="J111" s="13">
        <f t="shared" si="26"/>
        <v>67432.706117111462</v>
      </c>
      <c r="K111" s="12">
        <f t="shared" si="27"/>
        <v>-381.43309008831829</v>
      </c>
      <c r="L111" s="8">
        <f t="shared" si="28"/>
        <v>71447.628493673619</v>
      </c>
      <c r="M111" s="14">
        <f t="shared" si="29"/>
        <v>4.15106194413064E-2</v>
      </c>
      <c r="N111" s="14">
        <f t="shared" si="30"/>
        <v>0.02</v>
      </c>
      <c r="O111" s="15">
        <f t="shared" si="31"/>
        <v>67365.273410994356</v>
      </c>
      <c r="P111" s="8">
        <f t="shared" si="32"/>
        <v>67.432706117106136</v>
      </c>
      <c r="Q111" s="16">
        <f t="shared" si="33"/>
        <v>69455.687300624806</v>
      </c>
    </row>
    <row r="112" spans="2:17" ht="17.100000000000001" customHeight="1" x14ac:dyDescent="0.3">
      <c r="B112" s="7" t="s">
        <v>53</v>
      </c>
      <c r="C112" s="7" t="s">
        <v>43</v>
      </c>
      <c r="D112" s="8">
        <f>$C$11+4650</f>
        <v>68650</v>
      </c>
      <c r="E112" s="9">
        <v>512</v>
      </c>
      <c r="F112" s="10">
        <f t="shared" si="24"/>
        <v>8.7079388201019667E-2</v>
      </c>
      <c r="G112" s="11">
        <f t="shared" si="25"/>
        <v>298.89999999999998</v>
      </c>
      <c r="H112" s="10">
        <f t="shared" si="34"/>
        <v>2.3742781212926864</v>
      </c>
      <c r="I112" s="12">
        <f t="shared" si="35"/>
        <v>8010.5000000000009</v>
      </c>
      <c r="J112" s="13">
        <f t="shared" si="26"/>
        <v>67477.351774093331</v>
      </c>
      <c r="K112" s="12">
        <f t="shared" si="27"/>
        <v>-794.69302674288838</v>
      </c>
      <c r="L112" s="8">
        <f t="shared" si="28"/>
        <v>71332.49578503106</v>
      </c>
      <c r="M112" s="14">
        <f t="shared" si="29"/>
        <v>3.9074956810357761E-2</v>
      </c>
      <c r="N112" s="14">
        <f t="shared" si="30"/>
        <v>0.02</v>
      </c>
      <c r="O112" s="15">
        <f t="shared" si="31"/>
        <v>67409.874422319233</v>
      </c>
      <c r="P112" s="8">
        <f t="shared" si="32"/>
        <v>67.47735177409777</v>
      </c>
      <c r="Q112" s="16">
        <f t="shared" si="33"/>
        <v>69501.672327316133</v>
      </c>
    </row>
    <row r="113" spans="2:17" ht="17.100000000000001" customHeight="1" x14ac:dyDescent="0.3">
      <c r="B113" s="7" t="s">
        <v>53</v>
      </c>
      <c r="C113" s="7" t="s">
        <v>44</v>
      </c>
      <c r="D113" s="8">
        <f>$C$11+4700</f>
        <v>68700</v>
      </c>
      <c r="E113" s="9">
        <v>528</v>
      </c>
      <c r="F113" s="10">
        <f t="shared" si="24"/>
        <v>8.9723435225618625E-2</v>
      </c>
      <c r="G113" s="11">
        <f t="shared" si="25"/>
        <v>308.2</v>
      </c>
      <c r="H113" s="10">
        <f t="shared" si="34"/>
        <v>2.4640015565183049</v>
      </c>
      <c r="I113" s="12">
        <f t="shared" si="35"/>
        <v>8318.7000000000007</v>
      </c>
      <c r="J113" s="13">
        <f t="shared" si="26"/>
        <v>67521.872930587982</v>
      </c>
      <c r="K113" s="12">
        <f t="shared" si="27"/>
        <v>-1221.606932807561</v>
      </c>
      <c r="L113" s="8">
        <f t="shared" si="28"/>
        <v>71224.19097044575</v>
      </c>
      <c r="M113" s="14">
        <f t="shared" si="29"/>
        <v>3.6742226644042947E-2</v>
      </c>
      <c r="N113" s="14">
        <f t="shared" si="30"/>
        <v>0.02</v>
      </c>
      <c r="O113" s="15">
        <f t="shared" si="31"/>
        <v>67454.35105765739</v>
      </c>
      <c r="P113" s="8">
        <f t="shared" si="32"/>
        <v>67.521872930592508</v>
      </c>
      <c r="Q113" s="16">
        <f t="shared" si="33"/>
        <v>69547.529118505627</v>
      </c>
    </row>
    <row r="114" spans="2:17" ht="17.100000000000001" customHeight="1" x14ac:dyDescent="0.3">
      <c r="B114" s="7" t="s">
        <v>53</v>
      </c>
      <c r="C114" s="7" t="s">
        <v>45</v>
      </c>
      <c r="D114" s="8">
        <f>$C$11+4750</f>
        <v>68750</v>
      </c>
      <c r="E114" s="9">
        <v>544</v>
      </c>
      <c r="F114" s="10">
        <f t="shared" si="24"/>
        <v>9.2392727272727279E-2</v>
      </c>
      <c r="G114" s="11">
        <f t="shared" si="25"/>
        <v>317.60000000000002</v>
      </c>
      <c r="H114" s="10">
        <f t="shared" si="34"/>
        <v>2.5563942837910321</v>
      </c>
      <c r="I114" s="12">
        <f t="shared" si="35"/>
        <v>8636.3000000000011</v>
      </c>
      <c r="J114" s="13">
        <f t="shared" si="26"/>
        <v>67566.259670966785</v>
      </c>
      <c r="K114" s="12">
        <f t="shared" si="27"/>
        <v>-1662.407010633427</v>
      </c>
      <c r="L114" s="8">
        <f t="shared" si="28"/>
        <v>71122.40728110935</v>
      </c>
      <c r="M114" s="14">
        <f t="shared" si="29"/>
        <v>3.4507742270681457E-2</v>
      </c>
      <c r="N114" s="14">
        <f t="shared" si="30"/>
        <v>0.02</v>
      </c>
      <c r="O114" s="15">
        <f t="shared" si="31"/>
        <v>67498.693411295812</v>
      </c>
      <c r="P114" s="8">
        <f t="shared" si="32"/>
        <v>67.566259670973523</v>
      </c>
      <c r="Q114" s="16">
        <f t="shared" si="33"/>
        <v>69593.247461095787</v>
      </c>
    </row>
    <row r="115" spans="2:17" ht="17.100000000000001" customHeight="1" x14ac:dyDescent="0.3">
      <c r="B115" s="7" t="s">
        <v>53</v>
      </c>
      <c r="C115" s="7" t="s">
        <v>46</v>
      </c>
      <c r="D115" s="8">
        <f>$C$11+4800</f>
        <v>68800</v>
      </c>
      <c r="E115" s="9">
        <v>560</v>
      </c>
      <c r="F115" s="10">
        <f t="shared" ref="F115:F146" si="36">(G115*$C$13)/D115</f>
        <v>9.5029069767441854E-2</v>
      </c>
      <c r="G115" s="11">
        <f t="shared" si="25"/>
        <v>326.89999999999998</v>
      </c>
      <c r="H115" s="10">
        <f t="shared" si="34"/>
        <v>2.6514233535584739</v>
      </c>
      <c r="I115" s="12">
        <f t="shared" si="35"/>
        <v>8963.2000000000007</v>
      </c>
      <c r="J115" s="13">
        <f t="shared" ref="J115:J146" si="37">I115*$C$13/H115</f>
        <v>67610.477881402781</v>
      </c>
      <c r="K115" s="12">
        <f t="shared" ref="K115:K146" si="38">$C$12-I115+H115*(J115-D115)</f>
        <v>-2117.1267248230188</v>
      </c>
      <c r="L115" s="8">
        <f t="shared" si="28"/>
        <v>71026.902515192123</v>
      </c>
      <c r="M115" s="14">
        <f t="shared" ref="M115:M146" si="39">(L115-D115)/D115</f>
        <v>3.2367769116164583E-2</v>
      </c>
      <c r="N115" s="14">
        <f t="shared" si="30"/>
        <v>0.02</v>
      </c>
      <c r="O115" s="15">
        <f t="shared" ref="O115:O146" si="40">J115*(1-N115/$C$13)</f>
        <v>67542.867403521377</v>
      </c>
      <c r="P115" s="8">
        <f t="shared" ref="P115:P146" si="41">J115-O115</f>
        <v>67.610477881404222</v>
      </c>
      <c r="Q115" s="16">
        <f t="shared" si="33"/>
        <v>69638.792217844864</v>
      </c>
    </row>
    <row r="116" spans="2:17" ht="17.100000000000001" customHeight="1" x14ac:dyDescent="0.3">
      <c r="B116" s="7" t="s">
        <v>53</v>
      </c>
      <c r="C116" s="7" t="s">
        <v>47</v>
      </c>
      <c r="D116" s="8">
        <f>$C$11+4850</f>
        <v>68850</v>
      </c>
      <c r="E116" s="9">
        <v>576</v>
      </c>
      <c r="F116" s="10">
        <f t="shared" si="36"/>
        <v>9.7690631808278861E-2</v>
      </c>
      <c r="G116" s="11">
        <f t="shared" si="25"/>
        <v>336.3</v>
      </c>
      <c r="H116" s="10">
        <f t="shared" si="34"/>
        <v>2.749113985366753</v>
      </c>
      <c r="I116" s="12">
        <f t="shared" si="35"/>
        <v>9299.5</v>
      </c>
      <c r="J116" s="13">
        <f t="shared" si="37"/>
        <v>67654.524690502236</v>
      </c>
      <c r="K116" s="12">
        <f t="shared" si="38"/>
        <v>-2585.9978925009509</v>
      </c>
      <c r="L116" s="8">
        <f t="shared" si="28"/>
        <v>70937.373426921709</v>
      </c>
      <c r="M116" s="14">
        <f t="shared" si="39"/>
        <v>3.0317696832559322E-2</v>
      </c>
      <c r="N116" s="14">
        <f t="shared" si="30"/>
        <v>0.02</v>
      </c>
      <c r="O116" s="15">
        <f t="shared" si="40"/>
        <v>67586.870165811735</v>
      </c>
      <c r="P116" s="8">
        <f t="shared" si="41"/>
        <v>67.654524690500693</v>
      </c>
      <c r="Q116" s="16">
        <f t="shared" si="33"/>
        <v>69684.1604312173</v>
      </c>
    </row>
    <row r="117" spans="2:17" ht="17.100000000000001" customHeight="1" x14ac:dyDescent="0.3">
      <c r="B117" s="7" t="s">
        <v>53</v>
      </c>
      <c r="C117" s="7" t="s">
        <v>48</v>
      </c>
      <c r="D117" s="8">
        <f>$C$11+4900</f>
        <v>68900</v>
      </c>
      <c r="E117" s="9">
        <v>592</v>
      </c>
      <c r="F117" s="10">
        <f t="shared" si="36"/>
        <v>0.10031930333817127</v>
      </c>
      <c r="G117" s="11">
        <f t="shared" si="25"/>
        <v>345.6</v>
      </c>
      <c r="H117" s="10">
        <f t="shared" si="34"/>
        <v>2.8494332887049243</v>
      </c>
      <c r="I117" s="12">
        <f t="shared" si="35"/>
        <v>9645.1</v>
      </c>
      <c r="J117" s="13">
        <f t="shared" si="37"/>
        <v>67698.37383617938</v>
      </c>
      <c r="K117" s="12">
        <f t="shared" si="38"/>
        <v>-3069.053591769271</v>
      </c>
      <c r="L117" s="8">
        <f t="shared" si="28"/>
        <v>70853.575731612786</v>
      </c>
      <c r="M117" s="14">
        <f t="shared" si="39"/>
        <v>2.8353784203378602E-2</v>
      </c>
      <c r="N117" s="14">
        <f t="shared" si="30"/>
        <v>0.02</v>
      </c>
      <c r="O117" s="15">
        <f t="shared" si="40"/>
        <v>67630.675462343206</v>
      </c>
      <c r="P117" s="8">
        <f t="shared" si="41"/>
        <v>67.698373836174142</v>
      </c>
      <c r="Q117" s="16">
        <f t="shared" si="33"/>
        <v>69729.325051264765</v>
      </c>
    </row>
    <row r="118" spans="2:17" ht="17.100000000000001" customHeight="1" x14ac:dyDescent="0.3">
      <c r="B118" s="7" t="s">
        <v>53</v>
      </c>
      <c r="C118" s="7" t="s">
        <v>49</v>
      </c>
      <c r="D118" s="8">
        <f>$C$11+4950</f>
        <v>68950</v>
      </c>
      <c r="E118" s="9">
        <v>608</v>
      </c>
      <c r="F118" s="10">
        <f t="shared" si="36"/>
        <v>0.10294416243654822</v>
      </c>
      <c r="G118" s="11">
        <f t="shared" si="25"/>
        <v>354.9</v>
      </c>
      <c r="H118" s="10">
        <f t="shared" si="34"/>
        <v>2.9523774511414724</v>
      </c>
      <c r="I118" s="12">
        <f t="shared" si="35"/>
        <v>10000</v>
      </c>
      <c r="J118" s="13">
        <f t="shared" si="37"/>
        <v>67742.015819377819</v>
      </c>
      <c r="K118" s="12">
        <f t="shared" si="38"/>
        <v>-3566.4252562045353</v>
      </c>
      <c r="L118" s="8">
        <f t="shared" si="28"/>
        <v>70775.240408305195</v>
      </c>
      <c r="M118" s="14">
        <f t="shared" si="39"/>
        <v>2.6471942107399494E-2</v>
      </c>
      <c r="N118" s="14">
        <f t="shared" si="30"/>
        <v>0.02</v>
      </c>
      <c r="O118" s="15">
        <f t="shared" si="40"/>
        <v>67674.273803558448</v>
      </c>
      <c r="P118" s="8">
        <f t="shared" si="41"/>
        <v>67.742015819370863</v>
      </c>
      <c r="Q118" s="16">
        <f t="shared" si="33"/>
        <v>69774.276293959148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18"/>
  <sheetViews>
    <sheetView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56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57</v>
      </c>
      <c r="C11" s="2">
        <v>3000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58</v>
      </c>
      <c r="G18" s="6" t="s">
        <v>18</v>
      </c>
      <c r="H18" s="6" t="s">
        <v>59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27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12">
        <f>$C$11-0</f>
        <v>3000</v>
      </c>
      <c r="E19" s="9">
        <v>10</v>
      </c>
      <c r="F19" s="10">
        <f t="shared" ref="F19:F50" si="0">(G19*$C$13)/D19</f>
        <v>3.8666666666666669E-2</v>
      </c>
      <c r="G19" s="11">
        <f t="shared" ref="G19:G50" si="1">ROUND($C$12*E19/SUM($E$19:$E$118), 1)</f>
        <v>5.8</v>
      </c>
      <c r="H19" s="10">
        <f>F19</f>
        <v>3.8666666666666669E-2</v>
      </c>
      <c r="I19" s="12">
        <f>G19</f>
        <v>5.8</v>
      </c>
      <c r="J19" s="17">
        <f t="shared" ref="J19:J50" si="2">I19*$C$13/H19</f>
        <v>3000</v>
      </c>
      <c r="K19" s="12">
        <f t="shared" ref="K19:K50" si="3">$C$12-I19+H19*(D19-J19)</f>
        <v>9994.2000000000007</v>
      </c>
      <c r="L19" s="12">
        <f t="shared" ref="L19:L50" si="4">(J19*H19-$C$12)/(H19*(1-$C$14))</f>
        <v>-256905.21573384159</v>
      </c>
      <c r="M19" s="14">
        <f t="shared" ref="M19:M50" si="5">(D19-L19)/D19</f>
        <v>86.635071911280534</v>
      </c>
      <c r="N19" s="14">
        <f t="shared" ref="N19:N50" si="6">IF(OR(B19="1차",B19="2차"),0.1,IF(OR(B19="3차",B19="4차"),0.05,0.02))</f>
        <v>0.1</v>
      </c>
      <c r="O19" s="18">
        <f t="shared" ref="O19:O50" si="7">J19*(1+N19/$C$13)</f>
        <v>3014.9999999999995</v>
      </c>
      <c r="P19" s="12">
        <f t="shared" ref="P19:P50" si="8">O19-J19</f>
        <v>14.999999999999545</v>
      </c>
      <c r="Q19" s="19">
        <f t="shared" ref="Q19:Q50" si="9">J19*(1-$C$15)</f>
        <v>2910</v>
      </c>
    </row>
    <row r="20" spans="2:17" ht="17.100000000000001" customHeight="1" x14ac:dyDescent="0.3">
      <c r="B20" s="7" t="s">
        <v>29</v>
      </c>
      <c r="C20" s="7" t="s">
        <v>31</v>
      </c>
      <c r="D20" s="12">
        <f>$C$11-2.5</f>
        <v>2997.5</v>
      </c>
      <c r="E20" s="9">
        <v>11</v>
      </c>
      <c r="F20" s="10">
        <f t="shared" si="0"/>
        <v>4.2702251876563804E-2</v>
      </c>
      <c r="G20" s="11">
        <f t="shared" si="1"/>
        <v>6.4</v>
      </c>
      <c r="H20" s="10">
        <f t="shared" ref="H20:H51" si="10">H19+F20</f>
        <v>8.1368918543230473E-2</v>
      </c>
      <c r="I20" s="12">
        <f t="shared" ref="I20:I51" si="11">I19+G20</f>
        <v>12.2</v>
      </c>
      <c r="J20" s="17">
        <f t="shared" si="2"/>
        <v>2998.6880048106491</v>
      </c>
      <c r="K20" s="12">
        <f t="shared" si="3"/>
        <v>9987.7033333333329</v>
      </c>
      <c r="L20" s="12">
        <f t="shared" si="4"/>
        <v>-120500.86570118087</v>
      </c>
      <c r="M20" s="14">
        <f t="shared" si="5"/>
        <v>41.200455613404792</v>
      </c>
      <c r="N20" s="14">
        <f t="shared" si="6"/>
        <v>0.1</v>
      </c>
      <c r="O20" s="18">
        <f t="shared" si="7"/>
        <v>3013.6814448347022</v>
      </c>
      <c r="P20" s="12">
        <f t="shared" si="8"/>
        <v>14.993440024053143</v>
      </c>
      <c r="Q20" s="19">
        <f t="shared" si="9"/>
        <v>2908.7273646663293</v>
      </c>
    </row>
    <row r="21" spans="2:17" ht="17.100000000000001" customHeight="1" x14ac:dyDescent="0.3">
      <c r="B21" s="7" t="s">
        <v>29</v>
      </c>
      <c r="C21" s="7" t="s">
        <v>32</v>
      </c>
      <c r="D21" s="12">
        <f>$C$11-5</f>
        <v>2995</v>
      </c>
      <c r="E21" s="9">
        <v>12</v>
      </c>
      <c r="F21" s="10">
        <f t="shared" si="0"/>
        <v>4.6744574290484141E-2</v>
      </c>
      <c r="G21" s="11">
        <f t="shared" si="1"/>
        <v>7</v>
      </c>
      <c r="H21" s="10">
        <f t="shared" si="10"/>
        <v>0.12811349283371462</v>
      </c>
      <c r="I21" s="12">
        <f t="shared" si="11"/>
        <v>19.2</v>
      </c>
      <c r="J21" s="17">
        <f t="shared" si="2"/>
        <v>2997.3423681330287</v>
      </c>
      <c r="K21" s="12">
        <f t="shared" si="3"/>
        <v>9980.4999110369754</v>
      </c>
      <c r="L21" s="12">
        <f t="shared" si="4"/>
        <v>-75435.626601672964</v>
      </c>
      <c r="M21" s="14">
        <f t="shared" si="5"/>
        <v>26.187187513079454</v>
      </c>
      <c r="N21" s="14">
        <f t="shared" si="6"/>
        <v>0.1</v>
      </c>
      <c r="O21" s="18">
        <f t="shared" si="7"/>
        <v>3012.3290799736933</v>
      </c>
      <c r="P21" s="12">
        <f t="shared" si="8"/>
        <v>14.986711840664611</v>
      </c>
      <c r="Q21" s="19">
        <f t="shared" si="9"/>
        <v>2907.4220970890378</v>
      </c>
    </row>
    <row r="22" spans="2:17" ht="17.100000000000001" customHeight="1" x14ac:dyDescent="0.3">
      <c r="B22" s="7" t="s">
        <v>29</v>
      </c>
      <c r="C22" s="7" t="s">
        <v>33</v>
      </c>
      <c r="D22" s="12">
        <f>$C$11-7.5</f>
        <v>2992.5</v>
      </c>
      <c r="E22" s="9">
        <v>13</v>
      </c>
      <c r="F22" s="10">
        <f t="shared" si="0"/>
        <v>5.0793650793650794E-2</v>
      </c>
      <c r="G22" s="11">
        <f t="shared" si="1"/>
        <v>7.6</v>
      </c>
      <c r="H22" s="10">
        <f t="shared" si="10"/>
        <v>0.17890714362736543</v>
      </c>
      <c r="I22" s="12">
        <f t="shared" si="11"/>
        <v>26.799999999999997</v>
      </c>
      <c r="J22" s="17">
        <f t="shared" si="2"/>
        <v>2995.9675680497203</v>
      </c>
      <c r="K22" s="12">
        <f t="shared" si="3"/>
        <v>9972.5796273048909</v>
      </c>
      <c r="L22" s="12">
        <f t="shared" si="4"/>
        <v>-53164.773614382648</v>
      </c>
      <c r="M22" s="14">
        <f t="shared" si="5"/>
        <v>18.76600622034508</v>
      </c>
      <c r="N22" s="14">
        <f t="shared" si="6"/>
        <v>0.1</v>
      </c>
      <c r="O22" s="18">
        <f t="shared" si="7"/>
        <v>3010.9474058899686</v>
      </c>
      <c r="P22" s="12">
        <f t="shared" si="8"/>
        <v>14.979837840248365</v>
      </c>
      <c r="Q22" s="19">
        <f t="shared" si="9"/>
        <v>2906.0885410082287</v>
      </c>
    </row>
    <row r="23" spans="2:17" ht="17.100000000000001" customHeight="1" x14ac:dyDescent="0.3">
      <c r="B23" s="7" t="s">
        <v>29</v>
      </c>
      <c r="C23" s="7" t="s">
        <v>34</v>
      </c>
      <c r="D23" s="12">
        <f>$C$11-10</f>
        <v>2990</v>
      </c>
      <c r="E23" s="9">
        <v>14</v>
      </c>
      <c r="F23" s="10">
        <f t="shared" si="0"/>
        <v>5.4849498327759198E-2</v>
      </c>
      <c r="G23" s="11">
        <f t="shared" si="1"/>
        <v>8.1999999999999993</v>
      </c>
      <c r="H23" s="10">
        <f t="shared" si="10"/>
        <v>0.23375664195512463</v>
      </c>
      <c r="I23" s="12">
        <f t="shared" si="11"/>
        <v>35</v>
      </c>
      <c r="J23" s="17">
        <f t="shared" si="2"/>
        <v>2994.5673164417817</v>
      </c>
      <c r="K23" s="12">
        <f t="shared" si="3"/>
        <v>9963.9323594458219</v>
      </c>
      <c r="L23" s="12">
        <f t="shared" si="4"/>
        <v>-39984.89022671726</v>
      </c>
      <c r="M23" s="14">
        <f t="shared" si="5"/>
        <v>14.372872985524166</v>
      </c>
      <c r="N23" s="14">
        <f t="shared" si="6"/>
        <v>0.1</v>
      </c>
      <c r="O23" s="18">
        <f t="shared" si="7"/>
        <v>3009.5401530239901</v>
      </c>
      <c r="P23" s="12">
        <f t="shared" si="8"/>
        <v>14.972836582208402</v>
      </c>
      <c r="Q23" s="19">
        <f t="shared" si="9"/>
        <v>2904.7302969485281</v>
      </c>
    </row>
    <row r="24" spans="2:17" ht="17.100000000000001" customHeight="1" x14ac:dyDescent="0.3">
      <c r="B24" s="7" t="s">
        <v>29</v>
      </c>
      <c r="C24" s="7" t="s">
        <v>35</v>
      </c>
      <c r="D24" s="12">
        <f>$C$11-12.5</f>
        <v>2987.5</v>
      </c>
      <c r="E24" s="9">
        <v>15</v>
      </c>
      <c r="F24" s="10">
        <f t="shared" si="0"/>
        <v>5.8912133891213386E-2</v>
      </c>
      <c r="G24" s="11">
        <f t="shared" si="1"/>
        <v>8.8000000000000007</v>
      </c>
      <c r="H24" s="10">
        <f t="shared" si="10"/>
        <v>0.29266877584633799</v>
      </c>
      <c r="I24" s="12">
        <f t="shared" si="11"/>
        <v>43.8</v>
      </c>
      <c r="J24" s="17">
        <f t="shared" si="2"/>
        <v>2993.1447161276014</v>
      </c>
      <c r="K24" s="12">
        <f t="shared" si="3"/>
        <v>9954.5479678409356</v>
      </c>
      <c r="L24" s="12">
        <f t="shared" si="4"/>
        <v>-31331.833126761936</v>
      </c>
      <c r="M24" s="14">
        <f t="shared" si="5"/>
        <v>11.487642887619058</v>
      </c>
      <c r="N24" s="14">
        <f t="shared" si="6"/>
        <v>0.1</v>
      </c>
      <c r="O24" s="18">
        <f t="shared" si="7"/>
        <v>3008.110439708239</v>
      </c>
      <c r="P24" s="12">
        <f t="shared" si="8"/>
        <v>14.965723580637587</v>
      </c>
      <c r="Q24" s="19">
        <f t="shared" si="9"/>
        <v>2903.3503746437732</v>
      </c>
    </row>
    <row r="25" spans="2:17" ht="17.100000000000001" customHeight="1" x14ac:dyDescent="0.3">
      <c r="B25" s="7" t="s">
        <v>29</v>
      </c>
      <c r="C25" s="7" t="s">
        <v>36</v>
      </c>
      <c r="D25" s="12">
        <f>$C$11-15</f>
        <v>2985</v>
      </c>
      <c r="E25" s="9">
        <v>16</v>
      </c>
      <c r="F25" s="10">
        <f t="shared" si="0"/>
        <v>6.2311557788944726E-2</v>
      </c>
      <c r="G25" s="11">
        <f t="shared" si="1"/>
        <v>9.3000000000000007</v>
      </c>
      <c r="H25" s="10">
        <f t="shared" si="10"/>
        <v>0.3549803336352827</v>
      </c>
      <c r="I25" s="12">
        <f t="shared" si="11"/>
        <v>53.099999999999994</v>
      </c>
      <c r="J25" s="17">
        <f t="shared" si="2"/>
        <v>2991.7150314336295</v>
      </c>
      <c r="K25" s="12">
        <f t="shared" si="3"/>
        <v>9944.5162959013178</v>
      </c>
      <c r="L25" s="12">
        <f t="shared" si="4"/>
        <v>-25305.386585425978</v>
      </c>
      <c r="M25" s="14">
        <f t="shared" si="5"/>
        <v>9.4775164440288027</v>
      </c>
      <c r="N25" s="14">
        <f t="shared" si="6"/>
        <v>0.1</v>
      </c>
      <c r="O25" s="18">
        <f t="shared" si="7"/>
        <v>3006.6736065907971</v>
      </c>
      <c r="P25" s="12">
        <f t="shared" si="8"/>
        <v>14.958575157167616</v>
      </c>
      <c r="Q25" s="19">
        <f t="shared" si="9"/>
        <v>2901.9635804906206</v>
      </c>
    </row>
    <row r="26" spans="2:17" ht="17.100000000000001" customHeight="1" x14ac:dyDescent="0.3">
      <c r="B26" s="7" t="s">
        <v>29</v>
      </c>
      <c r="C26" s="7" t="s">
        <v>37</v>
      </c>
      <c r="D26" s="12">
        <f>$C$11-17.5</f>
        <v>2982.5</v>
      </c>
      <c r="E26" s="9">
        <v>17</v>
      </c>
      <c r="F26" s="10">
        <f t="shared" si="0"/>
        <v>6.6387259010896899E-2</v>
      </c>
      <c r="G26" s="11">
        <f t="shared" si="1"/>
        <v>9.9</v>
      </c>
      <c r="H26" s="10">
        <f t="shared" si="10"/>
        <v>0.42136759264617962</v>
      </c>
      <c r="I26" s="12">
        <f t="shared" si="11"/>
        <v>62.999999999999993</v>
      </c>
      <c r="J26" s="17">
        <f t="shared" si="2"/>
        <v>2990.263185849738</v>
      </c>
      <c r="K26" s="12">
        <f t="shared" si="3"/>
        <v>9933.7288450672313</v>
      </c>
      <c r="L26" s="12">
        <f t="shared" si="4"/>
        <v>-20846.21539788364</v>
      </c>
      <c r="M26" s="14">
        <f t="shared" si="5"/>
        <v>7.9895106111931735</v>
      </c>
      <c r="N26" s="14">
        <f t="shared" si="6"/>
        <v>0.1</v>
      </c>
      <c r="O26" s="18">
        <f t="shared" si="7"/>
        <v>3005.2145017789862</v>
      </c>
      <c r="P26" s="12">
        <f t="shared" si="8"/>
        <v>14.951315929248267</v>
      </c>
      <c r="Q26" s="19">
        <f t="shared" si="9"/>
        <v>2900.5552902742456</v>
      </c>
    </row>
    <row r="27" spans="2:17" ht="17.100000000000001" customHeight="1" x14ac:dyDescent="0.3">
      <c r="B27" s="7" t="s">
        <v>29</v>
      </c>
      <c r="C27" s="7" t="s">
        <v>38</v>
      </c>
      <c r="D27" s="12">
        <f>$C$11-20</f>
        <v>2980</v>
      </c>
      <c r="E27" s="9">
        <v>18</v>
      </c>
      <c r="F27" s="10">
        <f t="shared" si="0"/>
        <v>7.0469798657718116E-2</v>
      </c>
      <c r="G27" s="11">
        <f t="shared" si="1"/>
        <v>10.5</v>
      </c>
      <c r="H27" s="10">
        <f t="shared" si="10"/>
        <v>0.49183739130389775</v>
      </c>
      <c r="I27" s="12">
        <f t="shared" si="11"/>
        <v>73.5</v>
      </c>
      <c r="J27" s="17">
        <f t="shared" si="2"/>
        <v>2988.7926904111946</v>
      </c>
      <c r="K27" s="12">
        <f t="shared" si="3"/>
        <v>9922.175426085616</v>
      </c>
      <c r="L27" s="12">
        <f t="shared" si="4"/>
        <v>-17430.28178252315</v>
      </c>
      <c r="M27" s="14">
        <f t="shared" si="5"/>
        <v>6.849087846484279</v>
      </c>
      <c r="N27" s="14">
        <f t="shared" si="6"/>
        <v>0.1</v>
      </c>
      <c r="O27" s="18">
        <f t="shared" si="7"/>
        <v>3003.7366538632505</v>
      </c>
      <c r="P27" s="12">
        <f t="shared" si="8"/>
        <v>14.943963452055868</v>
      </c>
      <c r="Q27" s="19">
        <f t="shared" si="9"/>
        <v>2899.1289096988585</v>
      </c>
    </row>
    <row r="28" spans="2:17" ht="17.100000000000001" customHeight="1" x14ac:dyDescent="0.3">
      <c r="B28" s="7" t="s">
        <v>29</v>
      </c>
      <c r="C28" s="7" t="s">
        <v>39</v>
      </c>
      <c r="D28" s="12">
        <f>$C$11-22.5</f>
        <v>2977.5</v>
      </c>
      <c r="E28" s="9">
        <v>19</v>
      </c>
      <c r="F28" s="10">
        <f t="shared" si="0"/>
        <v>7.4559193954659944E-2</v>
      </c>
      <c r="G28" s="11">
        <f t="shared" si="1"/>
        <v>11.1</v>
      </c>
      <c r="H28" s="10">
        <f t="shared" si="10"/>
        <v>0.56639658525855774</v>
      </c>
      <c r="I28" s="12">
        <f t="shared" si="11"/>
        <v>84.6</v>
      </c>
      <c r="J28" s="17">
        <f t="shared" si="2"/>
        <v>2987.3061456181076</v>
      </c>
      <c r="K28" s="12">
        <f t="shared" si="3"/>
        <v>9909.845832607356</v>
      </c>
      <c r="L28" s="12">
        <f t="shared" si="4"/>
        <v>-14741.876912811837</v>
      </c>
      <c r="M28" s="14">
        <f t="shared" si="5"/>
        <v>5.9510921621534294</v>
      </c>
      <c r="N28" s="14">
        <f t="shared" si="6"/>
        <v>0.1</v>
      </c>
      <c r="O28" s="18">
        <f t="shared" si="7"/>
        <v>3002.2426763461976</v>
      </c>
      <c r="P28" s="12">
        <f t="shared" si="8"/>
        <v>14.93653072809002</v>
      </c>
      <c r="Q28" s="19">
        <f t="shared" si="9"/>
        <v>2897.6869612495643</v>
      </c>
    </row>
    <row r="29" spans="2:17" ht="17.100000000000001" customHeight="1" x14ac:dyDescent="0.3">
      <c r="B29" s="7" t="s">
        <v>29</v>
      </c>
      <c r="C29" s="7" t="s">
        <v>40</v>
      </c>
      <c r="D29" s="12">
        <f>$C$11-25</f>
        <v>2975</v>
      </c>
      <c r="E29" s="9">
        <v>20</v>
      </c>
      <c r="F29" s="10">
        <f t="shared" si="0"/>
        <v>7.8655462184873945E-2</v>
      </c>
      <c r="G29" s="11">
        <f t="shared" si="1"/>
        <v>11.7</v>
      </c>
      <c r="H29" s="10">
        <f t="shared" si="10"/>
        <v>0.6450520474434317</v>
      </c>
      <c r="I29" s="12">
        <f t="shared" si="11"/>
        <v>96.3</v>
      </c>
      <c r="J29" s="17">
        <f t="shared" si="2"/>
        <v>2985.8055758964192</v>
      </c>
      <c r="K29" s="12">
        <f t="shared" si="3"/>
        <v>9896.7298411442098</v>
      </c>
      <c r="L29" s="12">
        <f t="shared" si="4"/>
        <v>-12579.718018852147</v>
      </c>
      <c r="M29" s="14">
        <f t="shared" si="5"/>
        <v>5.2284766449923179</v>
      </c>
      <c r="N29" s="14">
        <f t="shared" si="6"/>
        <v>0.1</v>
      </c>
      <c r="O29" s="18">
        <f t="shared" si="7"/>
        <v>3000.7346037759012</v>
      </c>
      <c r="P29" s="12">
        <f t="shared" si="8"/>
        <v>14.929027879481964</v>
      </c>
      <c r="Q29" s="19">
        <f t="shared" si="9"/>
        <v>2896.2314086195265</v>
      </c>
    </row>
    <row r="30" spans="2:17" ht="17.100000000000001" customHeight="1" x14ac:dyDescent="0.3">
      <c r="B30" s="7" t="s">
        <v>29</v>
      </c>
      <c r="C30" s="7" t="s">
        <v>41</v>
      </c>
      <c r="D30" s="12">
        <f>$C$11-27.5</f>
        <v>2972.5</v>
      </c>
      <c r="E30" s="9">
        <v>21</v>
      </c>
      <c r="F30" s="10">
        <f t="shared" si="0"/>
        <v>8.2758620689655171E-2</v>
      </c>
      <c r="G30" s="11">
        <f t="shared" si="1"/>
        <v>12.3</v>
      </c>
      <c r="H30" s="10">
        <f t="shared" si="10"/>
        <v>0.72781066813308692</v>
      </c>
      <c r="I30" s="12">
        <f t="shared" si="11"/>
        <v>108.6</v>
      </c>
      <c r="J30" s="17">
        <f t="shared" si="2"/>
        <v>2984.2926122138533</v>
      </c>
      <c r="K30" s="12">
        <f t="shared" si="3"/>
        <v>9882.8172110256</v>
      </c>
      <c r="L30" s="12">
        <f t="shared" si="4"/>
        <v>-10809.592422707479</v>
      </c>
      <c r="M30" s="14">
        <f t="shared" si="5"/>
        <v>4.6365323541488577</v>
      </c>
      <c r="N30" s="14">
        <f t="shared" si="6"/>
        <v>0.1</v>
      </c>
      <c r="O30" s="18">
        <f t="shared" si="7"/>
        <v>2999.2140752749224</v>
      </c>
      <c r="P30" s="12">
        <f t="shared" si="8"/>
        <v>14.921463061069062</v>
      </c>
      <c r="Q30" s="19">
        <f t="shared" si="9"/>
        <v>2894.7638338474376</v>
      </c>
    </row>
    <row r="31" spans="2:17" ht="17.100000000000001" customHeight="1" x14ac:dyDescent="0.3">
      <c r="B31" s="7" t="s">
        <v>29</v>
      </c>
      <c r="C31" s="7" t="s">
        <v>42</v>
      </c>
      <c r="D31" s="12">
        <f>$C$11-30</f>
        <v>2970</v>
      </c>
      <c r="E31" s="9">
        <v>22</v>
      </c>
      <c r="F31" s="10">
        <f t="shared" si="0"/>
        <v>8.61952861952862E-2</v>
      </c>
      <c r="G31" s="11">
        <f t="shared" si="1"/>
        <v>12.8</v>
      </c>
      <c r="H31" s="10">
        <f t="shared" si="10"/>
        <v>0.81400595432837308</v>
      </c>
      <c r="I31" s="12">
        <f t="shared" si="11"/>
        <v>121.39999999999999</v>
      </c>
      <c r="J31" s="17">
        <f t="shared" si="2"/>
        <v>2982.7791640705072</v>
      </c>
      <c r="K31" s="12">
        <f t="shared" si="3"/>
        <v>9868.1976843552675</v>
      </c>
      <c r="L31" s="12">
        <f t="shared" si="4"/>
        <v>-9348.8876964484189</v>
      </c>
      <c r="M31" s="14">
        <f t="shared" si="5"/>
        <v>4.1477736351678178</v>
      </c>
      <c r="N31" s="14">
        <f t="shared" si="6"/>
        <v>0.1</v>
      </c>
      <c r="O31" s="18">
        <f t="shared" si="7"/>
        <v>2997.6930598908593</v>
      </c>
      <c r="P31" s="12">
        <f t="shared" si="8"/>
        <v>14.913895820352082</v>
      </c>
      <c r="Q31" s="19">
        <f t="shared" si="9"/>
        <v>2893.295789148392</v>
      </c>
    </row>
    <row r="32" spans="2:17" ht="17.100000000000001" customHeight="1" x14ac:dyDescent="0.3">
      <c r="B32" s="7" t="s">
        <v>29</v>
      </c>
      <c r="C32" s="7" t="s">
        <v>43</v>
      </c>
      <c r="D32" s="12">
        <f>$C$11-32.5</f>
        <v>2967.5</v>
      </c>
      <c r="E32" s="9">
        <v>23</v>
      </c>
      <c r="F32" s="10">
        <f t="shared" si="0"/>
        <v>9.0311710193765798E-2</v>
      </c>
      <c r="G32" s="11">
        <f t="shared" si="1"/>
        <v>13.4</v>
      </c>
      <c r="H32" s="10">
        <f t="shared" si="10"/>
        <v>0.90431766452213891</v>
      </c>
      <c r="I32" s="12">
        <f t="shared" si="11"/>
        <v>134.79999999999998</v>
      </c>
      <c r="J32" s="17">
        <f t="shared" si="2"/>
        <v>2981.2532761091475</v>
      </c>
      <c r="K32" s="12">
        <f t="shared" si="3"/>
        <v>9852.7626694694482</v>
      </c>
      <c r="L32" s="12">
        <f t="shared" si="4"/>
        <v>-8117.3948111109021</v>
      </c>
      <c r="M32" s="14">
        <f t="shared" si="5"/>
        <v>3.7354321183187538</v>
      </c>
      <c r="N32" s="14">
        <f t="shared" si="6"/>
        <v>0.1</v>
      </c>
      <c r="O32" s="18">
        <f t="shared" si="7"/>
        <v>2996.1595424896927</v>
      </c>
      <c r="P32" s="12">
        <f t="shared" si="8"/>
        <v>14.906266380545276</v>
      </c>
      <c r="Q32" s="19">
        <f t="shared" si="9"/>
        <v>2891.8156778258731</v>
      </c>
    </row>
    <row r="33" spans="2:17" ht="17.100000000000001" customHeight="1" x14ac:dyDescent="0.3">
      <c r="B33" s="7" t="s">
        <v>29</v>
      </c>
      <c r="C33" s="7" t="s">
        <v>44</v>
      </c>
      <c r="D33" s="12">
        <f>$C$11-35</f>
        <v>2965</v>
      </c>
      <c r="E33" s="9">
        <v>24</v>
      </c>
      <c r="F33" s="10">
        <f t="shared" si="0"/>
        <v>9.4435075885328831E-2</v>
      </c>
      <c r="G33" s="11">
        <f t="shared" si="1"/>
        <v>14</v>
      </c>
      <c r="H33" s="10">
        <f t="shared" si="10"/>
        <v>0.99875274040746775</v>
      </c>
      <c r="I33" s="12">
        <f t="shared" si="11"/>
        <v>148.79999999999998</v>
      </c>
      <c r="J33" s="17">
        <f t="shared" si="2"/>
        <v>2979.7164799626594</v>
      </c>
      <c r="K33" s="12">
        <f t="shared" si="3"/>
        <v>9836.5018753081422</v>
      </c>
      <c r="L33" s="12">
        <f t="shared" si="4"/>
        <v>-7068.1122532209847</v>
      </c>
      <c r="M33" s="14">
        <f t="shared" si="5"/>
        <v>3.383848989281951</v>
      </c>
      <c r="N33" s="14">
        <f t="shared" si="6"/>
        <v>0.1</v>
      </c>
      <c r="O33" s="18">
        <f t="shared" si="7"/>
        <v>2994.6150623624721</v>
      </c>
      <c r="P33" s="12">
        <f t="shared" si="8"/>
        <v>14.898582399812767</v>
      </c>
      <c r="Q33" s="19">
        <f t="shared" si="9"/>
        <v>2890.3249855637796</v>
      </c>
    </row>
    <row r="34" spans="2:17" ht="17.100000000000001" customHeight="1" x14ac:dyDescent="0.3">
      <c r="B34" s="7" t="s">
        <v>29</v>
      </c>
      <c r="C34" s="7" t="s">
        <v>45</v>
      </c>
      <c r="D34" s="12">
        <f>$C$11-37.5</f>
        <v>2962.5</v>
      </c>
      <c r="E34" s="9">
        <v>25</v>
      </c>
      <c r="F34" s="10">
        <f t="shared" si="0"/>
        <v>9.8565400843881851E-2</v>
      </c>
      <c r="G34" s="11">
        <f t="shared" si="1"/>
        <v>14.6</v>
      </c>
      <c r="H34" s="10">
        <f t="shared" si="10"/>
        <v>1.0973181412513495</v>
      </c>
      <c r="I34" s="12">
        <f t="shared" si="11"/>
        <v>163.39999999999998</v>
      </c>
      <c r="J34" s="17">
        <f t="shared" si="2"/>
        <v>2978.1700284962644</v>
      </c>
      <c r="K34" s="12">
        <f t="shared" si="3"/>
        <v>9819.4049934571231</v>
      </c>
      <c r="L34" s="12">
        <f t="shared" si="4"/>
        <v>-6165.7862851087921</v>
      </c>
      <c r="M34" s="14">
        <f t="shared" si="5"/>
        <v>3.0812780709227989</v>
      </c>
      <c r="N34" s="14">
        <f t="shared" si="6"/>
        <v>0.1</v>
      </c>
      <c r="O34" s="18">
        <f t="shared" si="7"/>
        <v>2993.0608786387456</v>
      </c>
      <c r="P34" s="12">
        <f t="shared" si="8"/>
        <v>14.890850142481213</v>
      </c>
      <c r="Q34" s="19">
        <f t="shared" si="9"/>
        <v>2888.8249276413762</v>
      </c>
    </row>
    <row r="35" spans="2:17" ht="17.100000000000001" customHeight="1" x14ac:dyDescent="0.3">
      <c r="B35" s="7" t="s">
        <v>29</v>
      </c>
      <c r="C35" s="7" t="s">
        <v>46</v>
      </c>
      <c r="D35" s="12">
        <f>$C$11-40</f>
        <v>2960</v>
      </c>
      <c r="E35" s="9">
        <v>26</v>
      </c>
      <c r="F35" s="10">
        <f t="shared" si="0"/>
        <v>0.10270270270270271</v>
      </c>
      <c r="G35" s="11">
        <f t="shared" si="1"/>
        <v>15.2</v>
      </c>
      <c r="H35" s="10">
        <f t="shared" si="10"/>
        <v>1.2000208439540523</v>
      </c>
      <c r="I35" s="12">
        <f t="shared" si="11"/>
        <v>178.59999999999997</v>
      </c>
      <c r="J35" s="17">
        <f t="shared" si="2"/>
        <v>2976.6149629787328</v>
      </c>
      <c r="K35" s="12">
        <f t="shared" si="3"/>
        <v>9801.4616981039962</v>
      </c>
      <c r="L35" s="12">
        <f t="shared" si="4"/>
        <v>-5383.4910785808397</v>
      </c>
      <c r="M35" s="14">
        <f t="shared" si="5"/>
        <v>2.81874698600704</v>
      </c>
      <c r="N35" s="14">
        <f t="shared" si="6"/>
        <v>0.1</v>
      </c>
      <c r="O35" s="18">
        <f t="shared" si="7"/>
        <v>2991.4980377936263</v>
      </c>
      <c r="P35" s="12">
        <f t="shared" si="8"/>
        <v>14.883074814893462</v>
      </c>
      <c r="Q35" s="19">
        <f t="shared" si="9"/>
        <v>2887.3165140893707</v>
      </c>
    </row>
    <row r="36" spans="2:17" ht="17.100000000000001" customHeight="1" x14ac:dyDescent="0.3">
      <c r="B36" s="7" t="s">
        <v>29</v>
      </c>
      <c r="C36" s="7" t="s">
        <v>47</v>
      </c>
      <c r="D36" s="12">
        <f>$C$11-42.5</f>
        <v>2957.5</v>
      </c>
      <c r="E36" s="9">
        <v>27</v>
      </c>
      <c r="F36" s="10">
        <f t="shared" si="0"/>
        <v>0.10684699915469147</v>
      </c>
      <c r="G36" s="11">
        <f t="shared" si="1"/>
        <v>15.8</v>
      </c>
      <c r="H36" s="10">
        <f t="shared" si="10"/>
        <v>1.3068678431087437</v>
      </c>
      <c r="I36" s="12">
        <f t="shared" si="11"/>
        <v>194.39999999999998</v>
      </c>
      <c r="J36" s="17">
        <f t="shared" si="2"/>
        <v>2975.0521604015635</v>
      </c>
      <c r="K36" s="12">
        <f t="shared" si="3"/>
        <v>9782.6616459941106</v>
      </c>
      <c r="L36" s="12">
        <f t="shared" si="4"/>
        <v>-4700.3326313600819</v>
      </c>
      <c r="M36" s="14">
        <f t="shared" si="5"/>
        <v>2.5892925211699347</v>
      </c>
      <c r="N36" s="14">
        <f t="shared" si="6"/>
        <v>0.1</v>
      </c>
      <c r="O36" s="18">
        <f t="shared" si="7"/>
        <v>2989.9274212035712</v>
      </c>
      <c r="P36" s="12">
        <f t="shared" si="8"/>
        <v>14.875260802007688</v>
      </c>
      <c r="Q36" s="19">
        <f t="shared" si="9"/>
        <v>2885.8005955895164</v>
      </c>
    </row>
    <row r="37" spans="2:17" ht="17.100000000000001" customHeight="1" x14ac:dyDescent="0.3">
      <c r="B37" s="7" t="s">
        <v>29</v>
      </c>
      <c r="C37" s="7" t="s">
        <v>48</v>
      </c>
      <c r="D37" s="12">
        <f>$C$11-45</f>
        <v>2955</v>
      </c>
      <c r="E37" s="9">
        <v>28</v>
      </c>
      <c r="F37" s="10">
        <f t="shared" si="0"/>
        <v>0.11032148900169204</v>
      </c>
      <c r="G37" s="11">
        <f t="shared" si="1"/>
        <v>16.3</v>
      </c>
      <c r="H37" s="10">
        <f t="shared" si="10"/>
        <v>1.4171893321104359</v>
      </c>
      <c r="I37" s="12">
        <f t="shared" si="11"/>
        <v>210.7</v>
      </c>
      <c r="J37" s="17">
        <f t="shared" si="2"/>
        <v>2973.4911945213685</v>
      </c>
      <c r="K37" s="12">
        <f t="shared" si="3"/>
        <v>9763.0944763863372</v>
      </c>
      <c r="L37" s="12">
        <f t="shared" si="4"/>
        <v>-4103.245236982405</v>
      </c>
      <c r="M37" s="14">
        <f t="shared" si="5"/>
        <v>2.3885770683527596</v>
      </c>
      <c r="N37" s="14">
        <f t="shared" si="6"/>
        <v>0.1</v>
      </c>
      <c r="O37" s="18">
        <f t="shared" si="7"/>
        <v>2988.3586504939749</v>
      </c>
      <c r="P37" s="12">
        <f t="shared" si="8"/>
        <v>14.867455972606422</v>
      </c>
      <c r="Q37" s="19">
        <f t="shared" si="9"/>
        <v>2884.2864586857272</v>
      </c>
    </row>
    <row r="38" spans="2:17" ht="17.100000000000001" customHeight="1" x14ac:dyDescent="0.3">
      <c r="B38" s="7" t="s">
        <v>29</v>
      </c>
      <c r="C38" s="7" t="s">
        <v>49</v>
      </c>
      <c r="D38" s="12">
        <f>$C$11-47.5</f>
        <v>2952.5</v>
      </c>
      <c r="E38" s="9">
        <v>29</v>
      </c>
      <c r="F38" s="10">
        <f t="shared" si="0"/>
        <v>0.11447925486875529</v>
      </c>
      <c r="G38" s="11">
        <f t="shared" si="1"/>
        <v>16.899999999999999</v>
      </c>
      <c r="H38" s="10">
        <f t="shared" si="10"/>
        <v>1.5316685869791911</v>
      </c>
      <c r="I38" s="12">
        <f t="shared" si="11"/>
        <v>227.6</v>
      </c>
      <c r="J38" s="17">
        <f t="shared" si="2"/>
        <v>2971.9222805095255</v>
      </c>
      <c r="K38" s="12">
        <f t="shared" si="3"/>
        <v>9742.6515030560604</v>
      </c>
      <c r="L38" s="12">
        <f t="shared" si="4"/>
        <v>-3574.7791206065244</v>
      </c>
      <c r="M38" s="14">
        <f t="shared" si="5"/>
        <v>2.2107634616787553</v>
      </c>
      <c r="N38" s="14">
        <f t="shared" si="6"/>
        <v>0.1</v>
      </c>
      <c r="O38" s="18">
        <f t="shared" si="7"/>
        <v>2986.7818919120728</v>
      </c>
      <c r="P38" s="12">
        <f t="shared" si="8"/>
        <v>14.859611402547216</v>
      </c>
      <c r="Q38" s="19">
        <f t="shared" si="9"/>
        <v>2882.7646120942395</v>
      </c>
    </row>
    <row r="39" spans="2:17" ht="17.100000000000001" customHeight="1" x14ac:dyDescent="0.3">
      <c r="B39" s="7" t="s">
        <v>50</v>
      </c>
      <c r="C39" s="7" t="s">
        <v>30</v>
      </c>
      <c r="D39" s="12">
        <f>$C$11-50</f>
        <v>2950</v>
      </c>
      <c r="E39" s="9">
        <v>30</v>
      </c>
      <c r="F39" s="10">
        <f t="shared" si="0"/>
        <v>0.11864406779661017</v>
      </c>
      <c r="G39" s="11">
        <f t="shared" si="1"/>
        <v>17.5</v>
      </c>
      <c r="H39" s="10">
        <f t="shared" si="10"/>
        <v>1.6503126547758011</v>
      </c>
      <c r="I39" s="12">
        <f t="shared" si="11"/>
        <v>245.1</v>
      </c>
      <c r="J39" s="17">
        <f t="shared" si="2"/>
        <v>2970.3462467031427</v>
      </c>
      <c r="K39" s="12">
        <f t="shared" si="3"/>
        <v>9721.3223315886135</v>
      </c>
      <c r="L39" s="12">
        <f t="shared" si="4"/>
        <v>-3104.6347948827415</v>
      </c>
      <c r="M39" s="14">
        <f t="shared" si="5"/>
        <v>2.0524185745365227</v>
      </c>
      <c r="N39" s="14">
        <f t="shared" si="6"/>
        <v>0.1</v>
      </c>
      <c r="O39" s="18">
        <f t="shared" si="7"/>
        <v>2985.1979779366579</v>
      </c>
      <c r="P39" s="12">
        <f t="shared" si="8"/>
        <v>14.851731233515238</v>
      </c>
      <c r="Q39" s="19">
        <f t="shared" si="9"/>
        <v>2881.2358593020485</v>
      </c>
    </row>
    <row r="40" spans="2:17" ht="17.100000000000001" customHeight="1" x14ac:dyDescent="0.3">
      <c r="B40" s="7" t="s">
        <v>50</v>
      </c>
      <c r="C40" s="7" t="s">
        <v>31</v>
      </c>
      <c r="D40" s="12">
        <f>$C$11-52.5</f>
        <v>2947.5</v>
      </c>
      <c r="E40" s="9">
        <v>32</v>
      </c>
      <c r="F40" s="10">
        <f t="shared" si="0"/>
        <v>0.12688719253604749</v>
      </c>
      <c r="G40" s="11">
        <f t="shared" si="1"/>
        <v>18.7</v>
      </c>
      <c r="H40" s="10">
        <f t="shared" si="10"/>
        <v>1.7771998473118487</v>
      </c>
      <c r="I40" s="12">
        <f t="shared" si="11"/>
        <v>263.8</v>
      </c>
      <c r="J40" s="17">
        <f t="shared" si="2"/>
        <v>2968.7150873776832</v>
      </c>
      <c r="K40" s="12">
        <f t="shared" si="3"/>
        <v>9698.4965499516748</v>
      </c>
      <c r="L40" s="12">
        <f t="shared" si="4"/>
        <v>-2671.4714727489181</v>
      </c>
      <c r="M40" s="14">
        <f t="shared" si="5"/>
        <v>1.9063516446985302</v>
      </c>
      <c r="N40" s="14">
        <f t="shared" si="6"/>
        <v>0.1</v>
      </c>
      <c r="O40" s="18">
        <f t="shared" si="7"/>
        <v>2983.5586628145711</v>
      </c>
      <c r="P40" s="12">
        <f t="shared" si="8"/>
        <v>14.843575436887932</v>
      </c>
      <c r="Q40" s="19">
        <f t="shared" si="9"/>
        <v>2879.6536347563524</v>
      </c>
    </row>
    <row r="41" spans="2:17" ht="17.100000000000001" customHeight="1" x14ac:dyDescent="0.3">
      <c r="B41" s="7" t="s">
        <v>50</v>
      </c>
      <c r="C41" s="7" t="s">
        <v>32</v>
      </c>
      <c r="D41" s="12">
        <f>$C$11-55</f>
        <v>2945</v>
      </c>
      <c r="E41" s="9">
        <v>34</v>
      </c>
      <c r="F41" s="10">
        <f t="shared" si="0"/>
        <v>0.13446519524617997</v>
      </c>
      <c r="G41" s="11">
        <f t="shared" si="1"/>
        <v>19.8</v>
      </c>
      <c r="H41" s="10">
        <f t="shared" si="10"/>
        <v>1.9116650425580286</v>
      </c>
      <c r="I41" s="12">
        <f t="shared" si="11"/>
        <v>283.60000000000002</v>
      </c>
      <c r="J41" s="17">
        <f t="shared" si="2"/>
        <v>2967.0469845544744</v>
      </c>
      <c r="K41" s="12">
        <f t="shared" si="3"/>
        <v>9674.2535503333947</v>
      </c>
      <c r="L41" s="12">
        <f t="shared" si="4"/>
        <v>-2275.3718077609074</v>
      </c>
      <c r="M41" s="14">
        <f t="shared" si="5"/>
        <v>1.7726220060308684</v>
      </c>
      <c r="N41" s="14">
        <f t="shared" si="6"/>
        <v>0.1</v>
      </c>
      <c r="O41" s="18">
        <f t="shared" si="7"/>
        <v>2981.8822194772465</v>
      </c>
      <c r="P41" s="12">
        <f t="shared" si="8"/>
        <v>14.835234922772088</v>
      </c>
      <c r="Q41" s="19">
        <f t="shared" si="9"/>
        <v>2878.0355750178401</v>
      </c>
    </row>
    <row r="42" spans="2:17" ht="17.100000000000001" customHeight="1" x14ac:dyDescent="0.3">
      <c r="B42" s="7" t="s">
        <v>50</v>
      </c>
      <c r="C42" s="7" t="s">
        <v>33</v>
      </c>
      <c r="D42" s="12">
        <f>$C$11-57.5</f>
        <v>2942.5</v>
      </c>
      <c r="E42" s="9">
        <v>36</v>
      </c>
      <c r="F42" s="10">
        <f t="shared" si="0"/>
        <v>0.1427357689039932</v>
      </c>
      <c r="G42" s="11">
        <f t="shared" si="1"/>
        <v>21</v>
      </c>
      <c r="H42" s="10">
        <f t="shared" si="10"/>
        <v>2.0544008114620218</v>
      </c>
      <c r="I42" s="12">
        <f t="shared" si="11"/>
        <v>304.60000000000002</v>
      </c>
      <c r="J42" s="17">
        <f t="shared" si="2"/>
        <v>2965.3415078553276</v>
      </c>
      <c r="K42" s="12">
        <f t="shared" si="3"/>
        <v>9648.4743877269993</v>
      </c>
      <c r="L42" s="12">
        <f t="shared" si="4"/>
        <v>-1911.8169001109652</v>
      </c>
      <c r="M42" s="14">
        <f t="shared" si="5"/>
        <v>1.6497253696213987</v>
      </c>
      <c r="N42" s="14">
        <f t="shared" si="6"/>
        <v>0.1</v>
      </c>
      <c r="O42" s="18">
        <f t="shared" si="7"/>
        <v>2980.168215394604</v>
      </c>
      <c r="P42" s="12">
        <f t="shared" si="8"/>
        <v>14.826707539276413</v>
      </c>
      <c r="Q42" s="19">
        <f t="shared" si="9"/>
        <v>2876.3812626196677</v>
      </c>
    </row>
    <row r="43" spans="2:17" ht="17.100000000000001" customHeight="1" x14ac:dyDescent="0.3">
      <c r="B43" s="7" t="s">
        <v>50</v>
      </c>
      <c r="C43" s="7" t="s">
        <v>34</v>
      </c>
      <c r="D43" s="12">
        <f>$C$11-60</f>
        <v>2940</v>
      </c>
      <c r="E43" s="9">
        <v>38</v>
      </c>
      <c r="F43" s="10">
        <f t="shared" si="0"/>
        <v>0.15102040816326531</v>
      </c>
      <c r="G43" s="11">
        <f t="shared" si="1"/>
        <v>22.2</v>
      </c>
      <c r="H43" s="10">
        <f t="shared" si="10"/>
        <v>2.2054212196252871</v>
      </c>
      <c r="I43" s="12">
        <f t="shared" si="11"/>
        <v>326.8</v>
      </c>
      <c r="J43" s="17">
        <f t="shared" si="2"/>
        <v>2963.6061999578028</v>
      </c>
      <c r="K43" s="12">
        <f t="shared" si="3"/>
        <v>9621.1383856983448</v>
      </c>
      <c r="L43" s="12">
        <f t="shared" si="4"/>
        <v>-1578.5678509828565</v>
      </c>
      <c r="M43" s="14">
        <f t="shared" si="5"/>
        <v>1.5369278404703595</v>
      </c>
      <c r="N43" s="14">
        <f t="shared" si="6"/>
        <v>0.1</v>
      </c>
      <c r="O43" s="18">
        <f t="shared" si="7"/>
        <v>2978.4242309575916</v>
      </c>
      <c r="P43" s="12">
        <f t="shared" si="8"/>
        <v>14.818030999788789</v>
      </c>
      <c r="Q43" s="19">
        <f t="shared" si="9"/>
        <v>2874.6980139590687</v>
      </c>
    </row>
    <row r="44" spans="2:17" ht="17.100000000000001" customHeight="1" x14ac:dyDescent="0.3">
      <c r="B44" s="7" t="s">
        <v>50</v>
      </c>
      <c r="C44" s="7" t="s">
        <v>35</v>
      </c>
      <c r="D44" s="12">
        <f>$C$11-62.5</f>
        <v>2937.5</v>
      </c>
      <c r="E44" s="9">
        <v>40</v>
      </c>
      <c r="F44" s="10">
        <f t="shared" si="0"/>
        <v>0.15931914893617022</v>
      </c>
      <c r="G44" s="11">
        <f t="shared" si="1"/>
        <v>23.4</v>
      </c>
      <c r="H44" s="10">
        <f t="shared" si="10"/>
        <v>2.3647403685614572</v>
      </c>
      <c r="I44" s="12">
        <f t="shared" si="11"/>
        <v>350.2</v>
      </c>
      <c r="J44" s="17">
        <f t="shared" si="2"/>
        <v>2961.8473525111531</v>
      </c>
      <c r="K44" s="12">
        <f t="shared" si="3"/>
        <v>9592.2248326492791</v>
      </c>
      <c r="L44" s="12">
        <f t="shared" si="4"/>
        <v>-1273.3132636516984</v>
      </c>
      <c r="M44" s="14">
        <f t="shared" si="5"/>
        <v>1.4334683450729186</v>
      </c>
      <c r="N44" s="14">
        <f t="shared" si="6"/>
        <v>0.1</v>
      </c>
      <c r="O44" s="18">
        <f t="shared" si="7"/>
        <v>2976.6565892737085</v>
      </c>
      <c r="P44" s="12">
        <f t="shared" si="8"/>
        <v>14.809236762555429</v>
      </c>
      <c r="Q44" s="19">
        <f t="shared" si="9"/>
        <v>2872.9919319358182</v>
      </c>
    </row>
    <row r="45" spans="2:17" ht="17.100000000000001" customHeight="1" x14ac:dyDescent="0.3">
      <c r="B45" s="7" t="s">
        <v>50</v>
      </c>
      <c r="C45" s="7" t="s">
        <v>36</v>
      </c>
      <c r="D45" s="12">
        <f>$C$11-65</f>
        <v>2935</v>
      </c>
      <c r="E45" s="9">
        <v>42</v>
      </c>
      <c r="F45" s="10">
        <f t="shared" si="0"/>
        <v>0.16695059625212946</v>
      </c>
      <c r="G45" s="11">
        <f t="shared" si="1"/>
        <v>24.5</v>
      </c>
      <c r="H45" s="10">
        <f t="shared" si="10"/>
        <v>2.5316909648135866</v>
      </c>
      <c r="I45" s="12">
        <f t="shared" si="11"/>
        <v>374.7</v>
      </c>
      <c r="J45" s="17">
        <f t="shared" si="2"/>
        <v>2960.0769225606482</v>
      </c>
      <c r="K45" s="12">
        <f t="shared" si="3"/>
        <v>9561.8129817278768</v>
      </c>
      <c r="L45" s="12">
        <f t="shared" si="4"/>
        <v>-994.8263827728158</v>
      </c>
      <c r="M45" s="14">
        <f t="shared" si="5"/>
        <v>1.3389527709617772</v>
      </c>
      <c r="N45" s="14">
        <f t="shared" si="6"/>
        <v>0.1</v>
      </c>
      <c r="O45" s="18">
        <f t="shared" si="7"/>
        <v>2974.8773071734513</v>
      </c>
      <c r="P45" s="12">
        <f t="shared" si="8"/>
        <v>14.8003846128031</v>
      </c>
      <c r="Q45" s="19">
        <f t="shared" si="9"/>
        <v>2871.2746148838287</v>
      </c>
    </row>
    <row r="46" spans="2:17" ht="17.100000000000001" customHeight="1" x14ac:dyDescent="0.3">
      <c r="B46" s="7" t="s">
        <v>50</v>
      </c>
      <c r="C46" s="7" t="s">
        <v>37</v>
      </c>
      <c r="D46" s="12">
        <f>$C$11-67.5</f>
        <v>2932.5</v>
      </c>
      <c r="E46" s="9">
        <v>44</v>
      </c>
      <c r="F46" s="10">
        <f t="shared" si="0"/>
        <v>0.17527706734867859</v>
      </c>
      <c r="G46" s="11">
        <f t="shared" si="1"/>
        <v>25.7</v>
      </c>
      <c r="H46" s="10">
        <f t="shared" si="10"/>
        <v>2.7069680321622651</v>
      </c>
      <c r="I46" s="12">
        <f t="shared" si="11"/>
        <v>400.4</v>
      </c>
      <c r="J46" s="17">
        <f t="shared" si="2"/>
        <v>2958.2913077859253</v>
      </c>
      <c r="K46" s="12">
        <f t="shared" si="3"/>
        <v>9529.7837543158421</v>
      </c>
      <c r="L46" s="12">
        <f t="shared" si="4"/>
        <v>-739.57653968011437</v>
      </c>
      <c r="M46" s="14">
        <f t="shared" si="5"/>
        <v>1.2522000135311557</v>
      </c>
      <c r="N46" s="14">
        <f t="shared" si="6"/>
        <v>0.1</v>
      </c>
      <c r="O46" s="18">
        <f t="shared" si="7"/>
        <v>2973.0827643248545</v>
      </c>
      <c r="P46" s="12">
        <f t="shared" si="8"/>
        <v>14.791456538929197</v>
      </c>
      <c r="Q46" s="19">
        <f t="shared" si="9"/>
        <v>2869.5425685523473</v>
      </c>
    </row>
    <row r="47" spans="2:17" ht="17.100000000000001" customHeight="1" x14ac:dyDescent="0.3">
      <c r="B47" s="7" t="s">
        <v>50</v>
      </c>
      <c r="C47" s="7" t="s">
        <v>38</v>
      </c>
      <c r="D47" s="12">
        <f>$C$11-70</f>
        <v>2930</v>
      </c>
      <c r="E47" s="9">
        <v>46</v>
      </c>
      <c r="F47" s="10">
        <f t="shared" si="0"/>
        <v>0.18361774744027304</v>
      </c>
      <c r="G47" s="11">
        <f t="shared" si="1"/>
        <v>26.9</v>
      </c>
      <c r="H47" s="10">
        <f t="shared" si="10"/>
        <v>2.8905857796025383</v>
      </c>
      <c r="I47" s="12">
        <f t="shared" si="11"/>
        <v>427.29999999999995</v>
      </c>
      <c r="J47" s="17">
        <f t="shared" si="2"/>
        <v>2956.4941681734467</v>
      </c>
      <c r="K47" s="12">
        <f t="shared" si="3"/>
        <v>9496.1163342354375</v>
      </c>
      <c r="L47" s="12">
        <f t="shared" si="4"/>
        <v>-505.53992999448343</v>
      </c>
      <c r="M47" s="14">
        <f t="shared" si="5"/>
        <v>1.1725392252540898</v>
      </c>
      <c r="N47" s="14">
        <f t="shared" si="6"/>
        <v>0.1</v>
      </c>
      <c r="O47" s="18">
        <f t="shared" si="7"/>
        <v>2971.2766390143138</v>
      </c>
      <c r="P47" s="12">
        <f t="shared" si="8"/>
        <v>14.782470840867063</v>
      </c>
      <c r="Q47" s="19">
        <f t="shared" si="9"/>
        <v>2867.7993431282434</v>
      </c>
    </row>
    <row r="48" spans="2:17" ht="17.100000000000001" customHeight="1" x14ac:dyDescent="0.3">
      <c r="B48" s="7" t="s">
        <v>50</v>
      </c>
      <c r="C48" s="7" t="s">
        <v>39</v>
      </c>
      <c r="D48" s="12">
        <f>$C$11-72.5</f>
        <v>2927.5</v>
      </c>
      <c r="E48" s="9">
        <v>48</v>
      </c>
      <c r="F48" s="10">
        <f t="shared" si="0"/>
        <v>0.19128949615713065</v>
      </c>
      <c r="G48" s="11">
        <f t="shared" si="1"/>
        <v>28</v>
      </c>
      <c r="H48" s="10">
        <f t="shared" si="10"/>
        <v>3.081875275759669</v>
      </c>
      <c r="I48" s="12">
        <f t="shared" si="11"/>
        <v>455.29999999999995</v>
      </c>
      <c r="J48" s="17">
        <f t="shared" si="2"/>
        <v>2954.6945236956126</v>
      </c>
      <c r="K48" s="12">
        <f t="shared" si="3"/>
        <v>9460.8898697864315</v>
      </c>
      <c r="L48" s="12">
        <f t="shared" si="4"/>
        <v>-291.54082560660515</v>
      </c>
      <c r="M48" s="14">
        <f t="shared" si="5"/>
        <v>1.0995869600705739</v>
      </c>
      <c r="N48" s="14">
        <f t="shared" si="6"/>
        <v>0.1</v>
      </c>
      <c r="O48" s="18">
        <f t="shared" si="7"/>
        <v>2969.4679963140902</v>
      </c>
      <c r="P48" s="12">
        <f t="shared" si="8"/>
        <v>14.773472618477626</v>
      </c>
      <c r="Q48" s="19">
        <f t="shared" si="9"/>
        <v>2866.0536879847441</v>
      </c>
    </row>
    <row r="49" spans="2:17" ht="17.100000000000001" customHeight="1" x14ac:dyDescent="0.3">
      <c r="B49" s="7" t="s">
        <v>50</v>
      </c>
      <c r="C49" s="7" t="s">
        <v>40</v>
      </c>
      <c r="D49" s="12">
        <f>$C$11-75</f>
        <v>2925</v>
      </c>
      <c r="E49" s="9">
        <v>50</v>
      </c>
      <c r="F49" s="10">
        <f t="shared" si="0"/>
        <v>0.19965811965811966</v>
      </c>
      <c r="G49" s="11">
        <f t="shared" si="1"/>
        <v>29.2</v>
      </c>
      <c r="H49" s="10">
        <f t="shared" si="10"/>
        <v>3.2815333954177888</v>
      </c>
      <c r="I49" s="12">
        <f t="shared" si="11"/>
        <v>484.49999999999994</v>
      </c>
      <c r="J49" s="17">
        <f t="shared" si="2"/>
        <v>2952.887821751488</v>
      </c>
      <c r="K49" s="12">
        <f t="shared" si="3"/>
        <v>9423.9851815970342</v>
      </c>
      <c r="L49" s="12">
        <f t="shared" si="4"/>
        <v>-94.942745175098068</v>
      </c>
      <c r="M49" s="14">
        <f t="shared" si="5"/>
        <v>1.0324590581795208</v>
      </c>
      <c r="N49" s="14">
        <f t="shared" si="6"/>
        <v>0.1</v>
      </c>
      <c r="O49" s="18">
        <f t="shared" si="7"/>
        <v>2967.652260860245</v>
      </c>
      <c r="P49" s="12">
        <f t="shared" si="8"/>
        <v>14.76443910875696</v>
      </c>
      <c r="Q49" s="19">
        <f t="shared" si="9"/>
        <v>2864.301187098943</v>
      </c>
    </row>
    <row r="50" spans="2:17" ht="17.100000000000001" customHeight="1" x14ac:dyDescent="0.3">
      <c r="B50" s="7" t="s">
        <v>50</v>
      </c>
      <c r="C50" s="7" t="s">
        <v>41</v>
      </c>
      <c r="D50" s="12">
        <f>$C$11-77.5</f>
        <v>2922.5</v>
      </c>
      <c r="E50" s="9">
        <v>52</v>
      </c>
      <c r="F50" s="10">
        <f t="shared" si="0"/>
        <v>0.20804106073567152</v>
      </c>
      <c r="G50" s="11">
        <f t="shared" si="1"/>
        <v>30.4</v>
      </c>
      <c r="H50" s="10">
        <f t="shared" si="10"/>
        <v>3.4895744561534601</v>
      </c>
      <c r="I50" s="12">
        <f t="shared" si="11"/>
        <v>514.9</v>
      </c>
      <c r="J50" s="17">
        <f t="shared" si="2"/>
        <v>2951.0761639834536</v>
      </c>
      <c r="K50" s="12">
        <f t="shared" si="3"/>
        <v>9385.381348108489</v>
      </c>
      <c r="L50" s="12">
        <f t="shared" si="4"/>
        <v>85.826363988037812</v>
      </c>
      <c r="M50" s="14">
        <f t="shared" si="5"/>
        <v>0.97063255295533346</v>
      </c>
      <c r="N50" s="14">
        <f t="shared" si="6"/>
        <v>0.1</v>
      </c>
      <c r="O50" s="18">
        <f t="shared" si="7"/>
        <v>2965.8315448033704</v>
      </c>
      <c r="P50" s="12">
        <f t="shared" si="8"/>
        <v>14.755380819916809</v>
      </c>
      <c r="Q50" s="19">
        <f t="shared" si="9"/>
        <v>2862.54387906395</v>
      </c>
    </row>
    <row r="51" spans="2:17" ht="17.100000000000001" customHeight="1" x14ac:dyDescent="0.3">
      <c r="B51" s="7" t="s">
        <v>50</v>
      </c>
      <c r="C51" s="7" t="s">
        <v>42</v>
      </c>
      <c r="D51" s="12">
        <f>$C$11-80</f>
        <v>2920</v>
      </c>
      <c r="E51" s="9">
        <v>54</v>
      </c>
      <c r="F51" s="10">
        <f t="shared" ref="F51:F82" si="12">(G51*$C$13)/D51</f>
        <v>0.21575342465753425</v>
      </c>
      <c r="G51" s="11">
        <f t="shared" ref="G51:G82" si="13">ROUND($C$12*E51/SUM($E$19:$E$118), 1)</f>
        <v>31.5</v>
      </c>
      <c r="H51" s="10">
        <f t="shared" si="10"/>
        <v>3.7053278808109944</v>
      </c>
      <c r="I51" s="12">
        <f t="shared" si="11"/>
        <v>546.4</v>
      </c>
      <c r="J51" s="17">
        <f t="shared" ref="J51:J82" si="14">I51*$C$13/H51</f>
        <v>2949.2666645220506</v>
      </c>
      <c r="K51" s="12">
        <f t="shared" ref="K51:K82" si="15">$C$12-I51+H51*(D51-J51)</f>
        <v>9345.1574119681045</v>
      </c>
      <c r="L51" s="12">
        <f t="shared" ref="L51:L82" si="16">(J51*H51-$C$12)/(H51*(1-$C$14))</f>
        <v>251.70871420393172</v>
      </c>
      <c r="M51" s="14">
        <f t="shared" ref="M51:M82" si="17">(D51-L51)/D51</f>
        <v>0.91379838554659876</v>
      </c>
      <c r="N51" s="14">
        <f t="shared" ref="N51:N82" si="18">IF(OR(B51="1차",B51="2차"),0.1,IF(OR(B51="3차",B51="4차"),0.05,0.02))</f>
        <v>0.1</v>
      </c>
      <c r="O51" s="18">
        <f t="shared" ref="O51:O82" si="19">J51*(1+N51/$C$13)</f>
        <v>2964.0129978446607</v>
      </c>
      <c r="P51" s="12">
        <f t="shared" ref="P51:P82" si="20">O51-J51</f>
        <v>14.746333322610099</v>
      </c>
      <c r="Q51" s="19">
        <f t="shared" ref="Q51:Q82" si="21">J51*(1-$C$15)</f>
        <v>2860.7886645863891</v>
      </c>
    </row>
    <row r="52" spans="2:17" ht="17.100000000000001" customHeight="1" x14ac:dyDescent="0.3">
      <c r="B52" s="7" t="s">
        <v>50</v>
      </c>
      <c r="C52" s="7" t="s">
        <v>43</v>
      </c>
      <c r="D52" s="12">
        <f>$C$11-82.5</f>
        <v>2917.5</v>
      </c>
      <c r="E52" s="9">
        <v>56</v>
      </c>
      <c r="F52" s="10">
        <f t="shared" si="12"/>
        <v>0.22416452442159382</v>
      </c>
      <c r="G52" s="11">
        <f t="shared" si="13"/>
        <v>32.700000000000003</v>
      </c>
      <c r="H52" s="10">
        <f t="shared" ref="H52:H83" si="22">H51+F52</f>
        <v>3.9294924052325881</v>
      </c>
      <c r="I52" s="12">
        <f t="shared" ref="I52:I83" si="23">I51+G52</f>
        <v>579.1</v>
      </c>
      <c r="J52" s="17">
        <f t="shared" si="14"/>
        <v>2947.4544815450427</v>
      </c>
      <c r="K52" s="12">
        <f t="shared" si="15"/>
        <v>9303.1940922660742</v>
      </c>
      <c r="L52" s="12">
        <f t="shared" si="16"/>
        <v>404.61962634830667</v>
      </c>
      <c r="M52" s="14">
        <f t="shared" si="17"/>
        <v>0.86131289585319393</v>
      </c>
      <c r="N52" s="14">
        <f t="shared" si="18"/>
        <v>0.1</v>
      </c>
      <c r="O52" s="18">
        <f t="shared" si="19"/>
        <v>2962.1917539527676</v>
      </c>
      <c r="P52" s="12">
        <f t="shared" si="20"/>
        <v>14.737272407724959</v>
      </c>
      <c r="Q52" s="19">
        <f t="shared" si="21"/>
        <v>2859.0308470986911</v>
      </c>
    </row>
    <row r="53" spans="2:17" ht="17.100000000000001" customHeight="1" x14ac:dyDescent="0.3">
      <c r="B53" s="7" t="s">
        <v>50</v>
      </c>
      <c r="C53" s="7" t="s">
        <v>44</v>
      </c>
      <c r="D53" s="12">
        <f>$C$11-85</f>
        <v>2915</v>
      </c>
      <c r="E53" s="9">
        <v>58</v>
      </c>
      <c r="F53" s="10">
        <f t="shared" si="12"/>
        <v>0.23259005145797598</v>
      </c>
      <c r="G53" s="11">
        <f t="shared" si="13"/>
        <v>33.9</v>
      </c>
      <c r="H53" s="10">
        <f t="shared" si="22"/>
        <v>4.1620824566905643</v>
      </c>
      <c r="I53" s="12">
        <f t="shared" si="23"/>
        <v>613</v>
      </c>
      <c r="J53" s="17">
        <f t="shared" si="14"/>
        <v>2945.6408246530532</v>
      </c>
      <c r="K53" s="12">
        <f t="shared" si="15"/>
        <v>9259.4703612529956</v>
      </c>
      <c r="L53" s="12">
        <f t="shared" si="16"/>
        <v>545.72604160409719</v>
      </c>
      <c r="M53" s="14">
        <f t="shared" si="17"/>
        <v>0.81278694970699927</v>
      </c>
      <c r="N53" s="14">
        <f t="shared" si="18"/>
        <v>0.1</v>
      </c>
      <c r="O53" s="18">
        <f t="shared" si="19"/>
        <v>2960.3690287763179</v>
      </c>
      <c r="P53" s="12">
        <f t="shared" si="20"/>
        <v>14.728204123264732</v>
      </c>
      <c r="Q53" s="19">
        <f t="shared" si="21"/>
        <v>2857.2715999134616</v>
      </c>
    </row>
    <row r="54" spans="2:17" ht="17.100000000000001" customHeight="1" x14ac:dyDescent="0.3">
      <c r="B54" s="7" t="s">
        <v>50</v>
      </c>
      <c r="C54" s="7" t="s">
        <v>45</v>
      </c>
      <c r="D54" s="12">
        <f>$C$11-87.5</f>
        <v>2912.5</v>
      </c>
      <c r="E54" s="9">
        <v>60</v>
      </c>
      <c r="F54" s="10">
        <f t="shared" si="12"/>
        <v>0.24034334763948498</v>
      </c>
      <c r="G54" s="11">
        <f t="shared" si="13"/>
        <v>35</v>
      </c>
      <c r="H54" s="10">
        <f t="shared" si="22"/>
        <v>4.4024258043300497</v>
      </c>
      <c r="I54" s="12">
        <f t="shared" si="23"/>
        <v>648</v>
      </c>
      <c r="J54" s="17">
        <f t="shared" si="14"/>
        <v>2943.8315546971999</v>
      </c>
      <c r="K54" s="12">
        <f t="shared" si="15"/>
        <v>9214.0651551112696</v>
      </c>
      <c r="L54" s="12">
        <f t="shared" si="16"/>
        <v>675.73526598297906</v>
      </c>
      <c r="M54" s="14">
        <f t="shared" si="17"/>
        <v>0.76798789150799007</v>
      </c>
      <c r="N54" s="14">
        <f t="shared" si="18"/>
        <v>0.1</v>
      </c>
      <c r="O54" s="18">
        <f t="shared" si="19"/>
        <v>2958.5507124706855</v>
      </c>
      <c r="P54" s="12">
        <f t="shared" si="20"/>
        <v>14.719157773485676</v>
      </c>
      <c r="Q54" s="19">
        <f t="shared" si="21"/>
        <v>2855.516608056284</v>
      </c>
    </row>
    <row r="55" spans="2:17" ht="17.100000000000001" customHeight="1" x14ac:dyDescent="0.3">
      <c r="B55" s="7" t="s">
        <v>50</v>
      </c>
      <c r="C55" s="7" t="s">
        <v>46</v>
      </c>
      <c r="D55" s="12">
        <f>$C$11-90</f>
        <v>2910</v>
      </c>
      <c r="E55" s="9">
        <v>62</v>
      </c>
      <c r="F55" s="10">
        <f t="shared" si="12"/>
        <v>0.24879725085910653</v>
      </c>
      <c r="G55" s="11">
        <f t="shared" si="13"/>
        <v>36.200000000000003</v>
      </c>
      <c r="H55" s="10">
        <f t="shared" si="22"/>
        <v>4.6512230551891562</v>
      </c>
      <c r="I55" s="12">
        <f t="shared" si="23"/>
        <v>684.2</v>
      </c>
      <c r="J55" s="17">
        <f t="shared" si="14"/>
        <v>2942.0218806176986</v>
      </c>
      <c r="K55" s="12">
        <f t="shared" si="15"/>
        <v>9166.8590906004447</v>
      </c>
      <c r="L55" s="12">
        <f t="shared" si="16"/>
        <v>796.02988695271131</v>
      </c>
      <c r="M55" s="14">
        <f t="shared" si="17"/>
        <v>0.72645021066917137</v>
      </c>
      <c r="N55" s="14">
        <f t="shared" si="18"/>
        <v>0.1</v>
      </c>
      <c r="O55" s="18">
        <f t="shared" si="19"/>
        <v>2956.7319900207867</v>
      </c>
      <c r="P55" s="12">
        <f t="shared" si="20"/>
        <v>14.710109403088154</v>
      </c>
      <c r="Q55" s="19">
        <f t="shared" si="21"/>
        <v>2853.7612241991674</v>
      </c>
    </row>
    <row r="56" spans="2:17" ht="17.100000000000001" customHeight="1" x14ac:dyDescent="0.3">
      <c r="B56" s="7" t="s">
        <v>50</v>
      </c>
      <c r="C56" s="7" t="s">
        <v>47</v>
      </c>
      <c r="D56" s="12">
        <f>$C$11-92.5</f>
        <v>2907.5</v>
      </c>
      <c r="E56" s="9">
        <v>64</v>
      </c>
      <c r="F56" s="10">
        <f t="shared" si="12"/>
        <v>0.2572656921754084</v>
      </c>
      <c r="G56" s="11">
        <f t="shared" si="13"/>
        <v>37.4</v>
      </c>
      <c r="H56" s="10">
        <f t="shared" si="22"/>
        <v>4.9084887473645651</v>
      </c>
      <c r="I56" s="12">
        <f t="shared" si="23"/>
        <v>721.6</v>
      </c>
      <c r="J56" s="17">
        <f t="shared" si="14"/>
        <v>2940.2125058855922</v>
      </c>
      <c r="K56" s="12">
        <f t="shared" si="15"/>
        <v>9117.8310329624728</v>
      </c>
      <c r="L56" s="12">
        <f t="shared" si="16"/>
        <v>907.46288441131276</v>
      </c>
      <c r="M56" s="14">
        <f t="shared" si="17"/>
        <v>0.68788894775191312</v>
      </c>
      <c r="N56" s="14">
        <f t="shared" si="18"/>
        <v>0.1</v>
      </c>
      <c r="O56" s="18">
        <f t="shared" si="19"/>
        <v>2954.9135684150201</v>
      </c>
      <c r="P56" s="12">
        <f t="shared" si="20"/>
        <v>14.701062529427873</v>
      </c>
      <c r="Q56" s="19">
        <f t="shared" si="21"/>
        <v>2852.0061307090245</v>
      </c>
    </row>
    <row r="57" spans="2:17" ht="17.100000000000001" customHeight="1" x14ac:dyDescent="0.3">
      <c r="B57" s="7" t="s">
        <v>50</v>
      </c>
      <c r="C57" s="7" t="s">
        <v>48</v>
      </c>
      <c r="D57" s="12">
        <f>$C$11-95</f>
        <v>2905</v>
      </c>
      <c r="E57" s="9">
        <v>66</v>
      </c>
      <c r="F57" s="10">
        <f t="shared" si="12"/>
        <v>0.26506024096385544</v>
      </c>
      <c r="G57" s="11">
        <f t="shared" si="13"/>
        <v>38.5</v>
      </c>
      <c r="H57" s="10">
        <f t="shared" si="22"/>
        <v>5.1735489883284203</v>
      </c>
      <c r="I57" s="12">
        <f t="shared" si="23"/>
        <v>760.1</v>
      </c>
      <c r="J57" s="17">
        <f t="shared" si="14"/>
        <v>2938.4084376693577</v>
      </c>
      <c r="K57" s="12">
        <f t="shared" si="15"/>
        <v>9067.0598110940609</v>
      </c>
      <c r="L57" s="12">
        <f t="shared" si="16"/>
        <v>1010.5520823930202</v>
      </c>
      <c r="M57" s="14">
        <f t="shared" si="17"/>
        <v>0.65213353446023403</v>
      </c>
      <c r="N57" s="14">
        <f t="shared" si="18"/>
        <v>0.1</v>
      </c>
      <c r="O57" s="18">
        <f t="shared" si="19"/>
        <v>2953.1004798577042</v>
      </c>
      <c r="P57" s="12">
        <f t="shared" si="20"/>
        <v>14.692042188346477</v>
      </c>
      <c r="Q57" s="19">
        <f t="shared" si="21"/>
        <v>2850.256184539277</v>
      </c>
    </row>
    <row r="58" spans="2:17" ht="17.100000000000001" customHeight="1" x14ac:dyDescent="0.3">
      <c r="B58" s="7" t="s">
        <v>50</v>
      </c>
      <c r="C58" s="7" t="s">
        <v>49</v>
      </c>
      <c r="D58" s="12">
        <f>$C$11-97.5</f>
        <v>2902.5</v>
      </c>
      <c r="E58" s="9">
        <v>68</v>
      </c>
      <c r="F58" s="10">
        <f t="shared" si="12"/>
        <v>0.273557278208441</v>
      </c>
      <c r="G58" s="11">
        <f t="shared" si="13"/>
        <v>39.700000000000003</v>
      </c>
      <c r="H58" s="10">
        <f t="shared" si="22"/>
        <v>5.4471062665368617</v>
      </c>
      <c r="I58" s="12">
        <f t="shared" si="23"/>
        <v>799.80000000000007</v>
      </c>
      <c r="J58" s="17">
        <f t="shared" si="14"/>
        <v>2936.6050921877591</v>
      </c>
      <c r="K58" s="12">
        <f t="shared" si="15"/>
        <v>9014.4259386232407</v>
      </c>
      <c r="L58" s="12">
        <f t="shared" si="16"/>
        <v>1106.2994475225466</v>
      </c>
      <c r="M58" s="14">
        <f t="shared" si="17"/>
        <v>0.6188460129121286</v>
      </c>
      <c r="N58" s="14">
        <f t="shared" si="18"/>
        <v>0.1</v>
      </c>
      <c r="O58" s="18">
        <f t="shared" si="19"/>
        <v>2951.2881176486976</v>
      </c>
      <c r="P58" s="12">
        <f t="shared" si="20"/>
        <v>14.683025460938552</v>
      </c>
      <c r="Q58" s="19">
        <f t="shared" si="21"/>
        <v>2848.5069394221264</v>
      </c>
    </row>
    <row r="59" spans="2:17" ht="17.100000000000001" customHeight="1" x14ac:dyDescent="0.3">
      <c r="B59" s="7" t="s">
        <v>51</v>
      </c>
      <c r="C59" s="7" t="s">
        <v>30</v>
      </c>
      <c r="D59" s="12">
        <f>$C$11-100</f>
        <v>2900</v>
      </c>
      <c r="E59" s="9">
        <v>70</v>
      </c>
      <c r="F59" s="10">
        <f t="shared" si="12"/>
        <v>0.28206896551724137</v>
      </c>
      <c r="G59" s="11">
        <f t="shared" si="13"/>
        <v>40.9</v>
      </c>
      <c r="H59" s="10">
        <f t="shared" si="22"/>
        <v>5.7291752320541027</v>
      </c>
      <c r="I59" s="12">
        <f t="shared" si="23"/>
        <v>840.7</v>
      </c>
      <c r="J59" s="17">
        <f t="shared" si="14"/>
        <v>2934.8028850518531</v>
      </c>
      <c r="K59" s="12">
        <f t="shared" si="15"/>
        <v>8959.908172956897</v>
      </c>
      <c r="L59" s="12">
        <f t="shared" si="16"/>
        <v>1195.3275870696009</v>
      </c>
      <c r="M59" s="14">
        <f t="shared" si="17"/>
        <v>0.5878180734242755</v>
      </c>
      <c r="N59" s="14">
        <f t="shared" si="18"/>
        <v>0.05</v>
      </c>
      <c r="O59" s="18">
        <f t="shared" si="19"/>
        <v>2942.1398922644826</v>
      </c>
      <c r="P59" s="12">
        <f t="shared" si="20"/>
        <v>7.3370072126294872</v>
      </c>
      <c r="Q59" s="19">
        <f t="shared" si="21"/>
        <v>2846.7587985002974</v>
      </c>
    </row>
    <row r="60" spans="2:17" ht="17.100000000000001" customHeight="1" x14ac:dyDescent="0.3">
      <c r="B60" s="7" t="s">
        <v>51</v>
      </c>
      <c r="C60" s="7" t="s">
        <v>31</v>
      </c>
      <c r="D60" s="12">
        <f>$C$11-102.5</f>
        <v>2897.5</v>
      </c>
      <c r="E60" s="9">
        <v>74</v>
      </c>
      <c r="F60" s="10">
        <f t="shared" si="12"/>
        <v>0.29818809318377915</v>
      </c>
      <c r="G60" s="11">
        <f t="shared" si="13"/>
        <v>43.2</v>
      </c>
      <c r="H60" s="10">
        <f t="shared" si="22"/>
        <v>6.0273633252378822</v>
      </c>
      <c r="I60" s="12">
        <f t="shared" si="23"/>
        <v>883.90000000000009</v>
      </c>
      <c r="J60" s="17">
        <f t="shared" si="14"/>
        <v>2932.9574220253767</v>
      </c>
      <c r="K60" s="12">
        <f t="shared" si="15"/>
        <v>8902.3852348767632</v>
      </c>
      <c r="L60" s="12">
        <f t="shared" si="16"/>
        <v>1280.2584643042592</v>
      </c>
      <c r="M60" s="14">
        <f t="shared" si="17"/>
        <v>0.5581506594290736</v>
      </c>
      <c r="N60" s="14">
        <f t="shared" si="18"/>
        <v>0.05</v>
      </c>
      <c r="O60" s="18">
        <f t="shared" si="19"/>
        <v>2940.2898155804401</v>
      </c>
      <c r="P60" s="12">
        <f t="shared" si="20"/>
        <v>7.3323935550633905</v>
      </c>
      <c r="Q60" s="19">
        <f t="shared" si="21"/>
        <v>2844.9686993646151</v>
      </c>
    </row>
    <row r="61" spans="2:17" ht="17.100000000000001" customHeight="1" x14ac:dyDescent="0.3">
      <c r="B61" s="7" t="s">
        <v>51</v>
      </c>
      <c r="C61" s="7" t="s">
        <v>32</v>
      </c>
      <c r="D61" s="12">
        <f>$C$11-105</f>
        <v>2895</v>
      </c>
      <c r="E61" s="9">
        <v>78</v>
      </c>
      <c r="F61" s="10">
        <f t="shared" si="12"/>
        <v>0.31433506044905007</v>
      </c>
      <c r="G61" s="11">
        <f t="shared" si="13"/>
        <v>45.5</v>
      </c>
      <c r="H61" s="10">
        <f t="shared" si="22"/>
        <v>6.3416983856869322</v>
      </c>
      <c r="I61" s="12">
        <f t="shared" si="23"/>
        <v>929.40000000000009</v>
      </c>
      <c r="J61" s="17">
        <f t="shared" si="14"/>
        <v>2931.0760098513497</v>
      </c>
      <c r="K61" s="12">
        <f t="shared" si="15"/>
        <v>8841.8168265636705</v>
      </c>
      <c r="L61" s="12">
        <f t="shared" si="16"/>
        <v>1361.0164429098036</v>
      </c>
      <c r="M61" s="14">
        <f t="shared" si="17"/>
        <v>0.52987342213823707</v>
      </c>
      <c r="N61" s="14">
        <f t="shared" si="18"/>
        <v>0.05</v>
      </c>
      <c r="O61" s="18">
        <f t="shared" si="19"/>
        <v>2938.403699875978</v>
      </c>
      <c r="P61" s="12">
        <f t="shared" si="20"/>
        <v>7.3276900246282821</v>
      </c>
      <c r="Q61" s="19">
        <f t="shared" si="21"/>
        <v>2843.1437295558089</v>
      </c>
    </row>
    <row r="62" spans="2:17" ht="17.100000000000001" customHeight="1" x14ac:dyDescent="0.3">
      <c r="B62" s="7" t="s">
        <v>51</v>
      </c>
      <c r="C62" s="7" t="s">
        <v>33</v>
      </c>
      <c r="D62" s="12">
        <f>$C$11-107.5</f>
        <v>2892.5</v>
      </c>
      <c r="E62" s="9">
        <v>82</v>
      </c>
      <c r="F62" s="10">
        <f t="shared" si="12"/>
        <v>0.33120138288677614</v>
      </c>
      <c r="G62" s="11">
        <f t="shared" si="13"/>
        <v>47.9</v>
      </c>
      <c r="H62" s="10">
        <f t="shared" si="22"/>
        <v>6.6728997685737088</v>
      </c>
      <c r="I62" s="12">
        <f t="shared" si="23"/>
        <v>977.30000000000007</v>
      </c>
      <c r="J62" s="17">
        <f t="shared" si="14"/>
        <v>2929.1613358337372</v>
      </c>
      <c r="K62" s="12">
        <f t="shared" si="15"/>
        <v>8778.0625805994532</v>
      </c>
      <c r="L62" s="12">
        <f t="shared" si="16"/>
        <v>1437.7512298969964</v>
      </c>
      <c r="M62" s="14">
        <f t="shared" si="17"/>
        <v>0.50293820919723542</v>
      </c>
      <c r="N62" s="14">
        <f t="shared" si="18"/>
        <v>0.05</v>
      </c>
      <c r="O62" s="18">
        <f t="shared" si="19"/>
        <v>2936.4842391733214</v>
      </c>
      <c r="P62" s="12">
        <f t="shared" si="20"/>
        <v>7.3229033395841725</v>
      </c>
      <c r="Q62" s="19">
        <f t="shared" si="21"/>
        <v>2841.2864957587249</v>
      </c>
    </row>
    <row r="63" spans="2:17" ht="17.100000000000001" customHeight="1" x14ac:dyDescent="0.3">
      <c r="B63" s="7" t="s">
        <v>51</v>
      </c>
      <c r="C63" s="7" t="s">
        <v>34</v>
      </c>
      <c r="D63" s="12">
        <f>$C$11-110</f>
        <v>2890</v>
      </c>
      <c r="E63" s="9">
        <v>86</v>
      </c>
      <c r="F63" s="10">
        <f t="shared" si="12"/>
        <v>0.34740484429065743</v>
      </c>
      <c r="G63" s="11">
        <f t="shared" si="13"/>
        <v>50.2</v>
      </c>
      <c r="H63" s="10">
        <f t="shared" si="22"/>
        <v>7.0203046128643667</v>
      </c>
      <c r="I63" s="12">
        <f t="shared" si="23"/>
        <v>1027.5</v>
      </c>
      <c r="J63" s="17">
        <f t="shared" si="14"/>
        <v>2927.2234088451269</v>
      </c>
      <c r="K63" s="12">
        <f t="shared" si="15"/>
        <v>8711.1803311780204</v>
      </c>
      <c r="L63" s="12">
        <f t="shared" si="16"/>
        <v>1510.3354711912891</v>
      </c>
      <c r="M63" s="14">
        <f t="shared" si="17"/>
        <v>0.47739257052204531</v>
      </c>
      <c r="N63" s="14">
        <f t="shared" si="18"/>
        <v>0.05</v>
      </c>
      <c r="O63" s="18">
        <f t="shared" si="19"/>
        <v>2934.5414673672394</v>
      </c>
      <c r="P63" s="12">
        <f t="shared" si="20"/>
        <v>7.3180585221125511</v>
      </c>
      <c r="Q63" s="19">
        <f t="shared" si="21"/>
        <v>2839.4067065797731</v>
      </c>
    </row>
    <row r="64" spans="2:17" ht="17.100000000000001" customHeight="1" x14ac:dyDescent="0.3">
      <c r="B64" s="7" t="s">
        <v>51</v>
      </c>
      <c r="C64" s="7" t="s">
        <v>35</v>
      </c>
      <c r="D64" s="12">
        <f>$C$11-112.5</f>
        <v>2887.5</v>
      </c>
      <c r="E64" s="9">
        <v>90</v>
      </c>
      <c r="F64" s="10">
        <f t="shared" si="12"/>
        <v>0.36363636363636365</v>
      </c>
      <c r="G64" s="11">
        <f t="shared" si="13"/>
        <v>52.5</v>
      </c>
      <c r="H64" s="10">
        <f t="shared" si="22"/>
        <v>7.38394097650073</v>
      </c>
      <c r="I64" s="12">
        <f t="shared" si="23"/>
        <v>1080</v>
      </c>
      <c r="J64" s="17">
        <f t="shared" si="14"/>
        <v>2925.2671532372269</v>
      </c>
      <c r="K64" s="12">
        <f t="shared" si="15"/>
        <v>8641.1295696458583</v>
      </c>
      <c r="L64" s="12">
        <f t="shared" si="16"/>
        <v>1578.8711603178779</v>
      </c>
      <c r="M64" s="14">
        <f t="shared" si="17"/>
        <v>0.45320479296350552</v>
      </c>
      <c r="N64" s="14">
        <f t="shared" si="18"/>
        <v>0.05</v>
      </c>
      <c r="O64" s="18">
        <f t="shared" si="19"/>
        <v>2932.5803211203197</v>
      </c>
      <c r="P64" s="12">
        <f t="shared" si="20"/>
        <v>7.313167883092774</v>
      </c>
      <c r="Q64" s="19">
        <f t="shared" si="21"/>
        <v>2837.50913864011</v>
      </c>
    </row>
    <row r="65" spans="2:17" ht="17.100000000000001" customHeight="1" x14ac:dyDescent="0.3">
      <c r="B65" s="7" t="s">
        <v>51</v>
      </c>
      <c r="C65" s="7" t="s">
        <v>36</v>
      </c>
      <c r="D65" s="12">
        <f>$C$11-115</f>
        <v>2885</v>
      </c>
      <c r="E65" s="9">
        <v>94</v>
      </c>
      <c r="F65" s="10">
        <f t="shared" si="12"/>
        <v>0.38058925476603117</v>
      </c>
      <c r="G65" s="11">
        <f t="shared" si="13"/>
        <v>54.9</v>
      </c>
      <c r="H65" s="10">
        <f t="shared" si="22"/>
        <v>7.764530231266761</v>
      </c>
      <c r="I65" s="12">
        <f t="shared" si="23"/>
        <v>1134.9000000000001</v>
      </c>
      <c r="J65" s="17">
        <f t="shared" si="14"/>
        <v>2923.2934026836656</v>
      </c>
      <c r="K65" s="12">
        <f t="shared" si="15"/>
        <v>8567.7697172046064</v>
      </c>
      <c r="L65" s="12">
        <f t="shared" si="16"/>
        <v>1643.6034975864957</v>
      </c>
      <c r="M65" s="14">
        <f t="shared" si="17"/>
        <v>0.43029341504800844</v>
      </c>
      <c r="N65" s="14">
        <f t="shared" si="18"/>
        <v>0.05</v>
      </c>
      <c r="O65" s="18">
        <f t="shared" si="19"/>
        <v>2930.6016361903744</v>
      </c>
      <c r="P65" s="12">
        <f t="shared" si="20"/>
        <v>7.3082335067088025</v>
      </c>
      <c r="Q65" s="19">
        <f t="shared" si="21"/>
        <v>2835.5946006031554</v>
      </c>
    </row>
    <row r="66" spans="2:17" ht="17.100000000000001" customHeight="1" x14ac:dyDescent="0.3">
      <c r="B66" s="7" t="s">
        <v>51</v>
      </c>
      <c r="C66" s="7" t="s">
        <v>37</v>
      </c>
      <c r="D66" s="12">
        <f>$C$11-117.5</f>
        <v>2882.5</v>
      </c>
      <c r="E66" s="9">
        <v>98</v>
      </c>
      <c r="F66" s="10">
        <f t="shared" si="12"/>
        <v>0.39687771032090202</v>
      </c>
      <c r="G66" s="11">
        <f t="shared" si="13"/>
        <v>57.2</v>
      </c>
      <c r="H66" s="10">
        <f t="shared" si="22"/>
        <v>8.1614079415876635</v>
      </c>
      <c r="I66" s="12">
        <f t="shared" si="23"/>
        <v>1192.1000000000001</v>
      </c>
      <c r="J66" s="17">
        <f t="shared" si="14"/>
        <v>2921.3096772812396</v>
      </c>
      <c r="K66" s="12">
        <f t="shared" si="15"/>
        <v>8491.1583916264372</v>
      </c>
      <c r="L66" s="12">
        <f t="shared" si="16"/>
        <v>1704.553661391722</v>
      </c>
      <c r="M66" s="14">
        <f t="shared" si="17"/>
        <v>0.4086544106186567</v>
      </c>
      <c r="N66" s="14">
        <f t="shared" si="18"/>
        <v>0.05</v>
      </c>
      <c r="O66" s="18">
        <f t="shared" si="19"/>
        <v>2928.6129514744425</v>
      </c>
      <c r="P66" s="12">
        <f t="shared" si="20"/>
        <v>7.3032741932029239</v>
      </c>
      <c r="Q66" s="19">
        <f t="shared" si="21"/>
        <v>2833.6703869628022</v>
      </c>
    </row>
    <row r="67" spans="2:17" ht="17.100000000000001" customHeight="1" x14ac:dyDescent="0.3">
      <c r="B67" s="7" t="s">
        <v>51</v>
      </c>
      <c r="C67" s="7" t="s">
        <v>38</v>
      </c>
      <c r="D67" s="12">
        <f>$C$11-120</f>
        <v>2880</v>
      </c>
      <c r="E67" s="9">
        <v>102</v>
      </c>
      <c r="F67" s="10">
        <f t="shared" si="12"/>
        <v>0.41319444444444442</v>
      </c>
      <c r="G67" s="11">
        <f t="shared" si="13"/>
        <v>59.5</v>
      </c>
      <c r="H67" s="10">
        <f t="shared" si="22"/>
        <v>8.5746023860321081</v>
      </c>
      <c r="I67" s="12">
        <f t="shared" si="23"/>
        <v>1251.6000000000001</v>
      </c>
      <c r="J67" s="17">
        <f t="shared" si="14"/>
        <v>2919.3190393034129</v>
      </c>
      <c r="K67" s="12">
        <f t="shared" si="15"/>
        <v>8411.2548717724658</v>
      </c>
      <c r="L67" s="12">
        <f t="shared" si="16"/>
        <v>1761.893672533686</v>
      </c>
      <c r="M67" s="14">
        <f t="shared" si="17"/>
        <v>0.38823136370358124</v>
      </c>
      <c r="N67" s="14">
        <f t="shared" si="18"/>
        <v>0.05</v>
      </c>
      <c r="O67" s="18">
        <f t="shared" si="19"/>
        <v>2926.617336901671</v>
      </c>
      <c r="P67" s="12">
        <f t="shared" si="20"/>
        <v>7.2982975982581593</v>
      </c>
      <c r="Q67" s="19">
        <f t="shared" si="21"/>
        <v>2831.7394681243104</v>
      </c>
    </row>
    <row r="68" spans="2:17" ht="17.100000000000001" customHeight="1" x14ac:dyDescent="0.3">
      <c r="B68" s="7" t="s">
        <v>51</v>
      </c>
      <c r="C68" s="7" t="s">
        <v>39</v>
      </c>
      <c r="D68" s="12">
        <f>$C$11-122.5</f>
        <v>2877.5</v>
      </c>
      <c r="E68" s="9">
        <v>106</v>
      </c>
      <c r="F68" s="10">
        <f t="shared" si="12"/>
        <v>0.43023457862728065</v>
      </c>
      <c r="G68" s="11">
        <f t="shared" si="13"/>
        <v>61.9</v>
      </c>
      <c r="H68" s="10">
        <f t="shared" si="22"/>
        <v>9.004836964659388</v>
      </c>
      <c r="I68" s="12">
        <f t="shared" si="23"/>
        <v>1313.5000000000002</v>
      </c>
      <c r="J68" s="17">
        <f t="shared" si="14"/>
        <v>2917.3210023790452</v>
      </c>
      <c r="K68" s="12">
        <f t="shared" si="15"/>
        <v>8327.9183658073835</v>
      </c>
      <c r="L68" s="12">
        <f t="shared" si="16"/>
        <v>1815.8861574223256</v>
      </c>
      <c r="M68" s="14">
        <f t="shared" si="17"/>
        <v>0.36893617465774958</v>
      </c>
      <c r="N68" s="14">
        <f t="shared" si="18"/>
        <v>0.05</v>
      </c>
      <c r="O68" s="18">
        <f t="shared" si="19"/>
        <v>2924.6143048849926</v>
      </c>
      <c r="P68" s="12">
        <f t="shared" si="20"/>
        <v>7.2933025059473948</v>
      </c>
      <c r="Q68" s="19">
        <f t="shared" si="21"/>
        <v>2829.8013723076738</v>
      </c>
    </row>
    <row r="69" spans="2:17" ht="17.100000000000001" customHeight="1" x14ac:dyDescent="0.3">
      <c r="B69" s="7" t="s">
        <v>51</v>
      </c>
      <c r="C69" s="7" t="s">
        <v>40</v>
      </c>
      <c r="D69" s="12">
        <f>$C$11-125</f>
        <v>2875</v>
      </c>
      <c r="E69" s="9">
        <v>110</v>
      </c>
      <c r="F69" s="10">
        <f t="shared" si="12"/>
        <v>0.44660869565217393</v>
      </c>
      <c r="G69" s="11">
        <f t="shared" si="13"/>
        <v>64.2</v>
      </c>
      <c r="H69" s="10">
        <f t="shared" si="22"/>
        <v>9.4514456603115615</v>
      </c>
      <c r="I69" s="12">
        <f t="shared" si="23"/>
        <v>1377.7000000000003</v>
      </c>
      <c r="J69" s="17">
        <f t="shared" si="14"/>
        <v>2915.3212101408521</v>
      </c>
      <c r="K69" s="12">
        <f t="shared" si="15"/>
        <v>8241.2062733957318</v>
      </c>
      <c r="L69" s="12">
        <f t="shared" si="16"/>
        <v>1866.6150861300962</v>
      </c>
      <c r="M69" s="14">
        <f t="shared" si="17"/>
        <v>0.35074257873735787</v>
      </c>
      <c r="N69" s="14">
        <f t="shared" si="18"/>
        <v>0.05</v>
      </c>
      <c r="O69" s="18">
        <f t="shared" si="19"/>
        <v>2922.6095131662041</v>
      </c>
      <c r="P69" s="12">
        <f t="shared" si="20"/>
        <v>7.2883030253519792</v>
      </c>
      <c r="Q69" s="19">
        <f t="shared" si="21"/>
        <v>2827.8615738366266</v>
      </c>
    </row>
    <row r="70" spans="2:17" ht="17.100000000000001" customHeight="1" x14ac:dyDescent="0.3">
      <c r="B70" s="7" t="s">
        <v>51</v>
      </c>
      <c r="C70" s="7" t="s">
        <v>41</v>
      </c>
      <c r="D70" s="12">
        <f>$C$11-127.5</f>
        <v>2872.5</v>
      </c>
      <c r="E70" s="9">
        <v>114</v>
      </c>
      <c r="F70" s="10">
        <f t="shared" si="12"/>
        <v>0.46301131418624891</v>
      </c>
      <c r="G70" s="11">
        <f t="shared" si="13"/>
        <v>66.5</v>
      </c>
      <c r="H70" s="10">
        <f t="shared" si="22"/>
        <v>9.9144569744978099</v>
      </c>
      <c r="I70" s="12">
        <f t="shared" si="23"/>
        <v>1444.2000000000003</v>
      </c>
      <c r="J70" s="17">
        <f t="shared" si="14"/>
        <v>2913.3214329636089</v>
      </c>
      <c r="K70" s="12">
        <f t="shared" si="15"/>
        <v>8151.077659244952</v>
      </c>
      <c r="L70" s="12">
        <f t="shared" si="16"/>
        <v>1914.2646461808001</v>
      </c>
      <c r="M70" s="14">
        <f t="shared" si="17"/>
        <v>0.33358933118161876</v>
      </c>
      <c r="N70" s="14">
        <f t="shared" si="18"/>
        <v>0.05</v>
      </c>
      <c r="O70" s="18">
        <f t="shared" si="19"/>
        <v>2920.6047365460176</v>
      </c>
      <c r="P70" s="12">
        <f t="shared" si="20"/>
        <v>7.2833035824087347</v>
      </c>
      <c r="Q70" s="19">
        <f t="shared" si="21"/>
        <v>2825.9217899747005</v>
      </c>
    </row>
    <row r="71" spans="2:17" ht="17.100000000000001" customHeight="1" x14ac:dyDescent="0.3">
      <c r="B71" s="7" t="s">
        <v>51</v>
      </c>
      <c r="C71" s="7" t="s">
        <v>42</v>
      </c>
      <c r="D71" s="12">
        <f>$C$11-130</f>
        <v>2870</v>
      </c>
      <c r="E71" s="9">
        <v>118</v>
      </c>
      <c r="F71" s="10">
        <f t="shared" si="12"/>
        <v>0.48013937282229963</v>
      </c>
      <c r="G71" s="11">
        <f t="shared" si="13"/>
        <v>68.900000000000006</v>
      </c>
      <c r="H71" s="10">
        <f t="shared" si="22"/>
        <v>10.39459634732011</v>
      </c>
      <c r="I71" s="12">
        <f t="shared" si="23"/>
        <v>1513.1000000000004</v>
      </c>
      <c r="J71" s="17">
        <f t="shared" si="14"/>
        <v>2911.3203619303627</v>
      </c>
      <c r="K71" s="12">
        <f t="shared" si="15"/>
        <v>8057.3915168087069</v>
      </c>
      <c r="L71" s="12">
        <f t="shared" si="16"/>
        <v>1959.0774297577711</v>
      </c>
      <c r="M71" s="14">
        <f t="shared" si="17"/>
        <v>0.3173946237777801</v>
      </c>
      <c r="N71" s="14">
        <f t="shared" si="18"/>
        <v>0.05</v>
      </c>
      <c r="O71" s="18">
        <f t="shared" si="19"/>
        <v>2918.5986628351884</v>
      </c>
      <c r="P71" s="12">
        <f t="shared" si="20"/>
        <v>7.2783009048257554</v>
      </c>
      <c r="Q71" s="19">
        <f t="shared" si="21"/>
        <v>2823.9807510724518</v>
      </c>
    </row>
    <row r="72" spans="2:17" ht="17.100000000000001" customHeight="1" x14ac:dyDescent="0.3">
      <c r="B72" s="7" t="s">
        <v>51</v>
      </c>
      <c r="C72" s="7" t="s">
        <v>43</v>
      </c>
      <c r="D72" s="12">
        <f>$C$11-132.5</f>
        <v>2867.5</v>
      </c>
      <c r="E72" s="9">
        <v>122</v>
      </c>
      <c r="F72" s="10">
        <f t="shared" si="12"/>
        <v>0.49659982563208371</v>
      </c>
      <c r="G72" s="11">
        <f t="shared" si="13"/>
        <v>71.2</v>
      </c>
      <c r="H72" s="10">
        <f t="shared" si="22"/>
        <v>10.891196172952194</v>
      </c>
      <c r="I72" s="12">
        <f t="shared" si="23"/>
        <v>1584.3000000000004</v>
      </c>
      <c r="J72" s="17">
        <f t="shared" si="14"/>
        <v>2909.3223092143721</v>
      </c>
      <c r="K72" s="12">
        <f t="shared" si="15"/>
        <v>7960.2050259404059</v>
      </c>
      <c r="L72" s="12">
        <f t="shared" si="16"/>
        <v>2001.1552935295324</v>
      </c>
      <c r="M72" s="14">
        <f t="shared" si="17"/>
        <v>0.30212544253547258</v>
      </c>
      <c r="N72" s="14">
        <f t="shared" si="18"/>
        <v>0.05</v>
      </c>
      <c r="O72" s="18">
        <f t="shared" si="19"/>
        <v>2916.5956149874078</v>
      </c>
      <c r="P72" s="12">
        <f t="shared" si="20"/>
        <v>7.273305773035645</v>
      </c>
      <c r="Q72" s="19">
        <f t="shared" si="21"/>
        <v>2822.0426399379407</v>
      </c>
    </row>
    <row r="73" spans="2:17" ht="17.100000000000001" customHeight="1" x14ac:dyDescent="0.3">
      <c r="B73" s="7" t="s">
        <v>51</v>
      </c>
      <c r="C73" s="7" t="s">
        <v>44</v>
      </c>
      <c r="D73" s="12">
        <f>$C$11-135</f>
        <v>2865</v>
      </c>
      <c r="E73" s="9">
        <v>126</v>
      </c>
      <c r="F73" s="10">
        <f t="shared" si="12"/>
        <v>0.51378708551483421</v>
      </c>
      <c r="G73" s="11">
        <f t="shared" si="13"/>
        <v>73.599999999999994</v>
      </c>
      <c r="H73" s="10">
        <f t="shared" si="22"/>
        <v>11.404983258467029</v>
      </c>
      <c r="I73" s="12">
        <f t="shared" si="23"/>
        <v>1657.9000000000003</v>
      </c>
      <c r="J73" s="17">
        <f t="shared" si="14"/>
        <v>2907.325617982262</v>
      </c>
      <c r="K73" s="12">
        <f t="shared" si="15"/>
        <v>7859.3770355080314</v>
      </c>
      <c r="L73" s="12">
        <f t="shared" si="16"/>
        <v>2040.7195110977175</v>
      </c>
      <c r="M73" s="14">
        <f t="shared" si="17"/>
        <v>0.28770697692924346</v>
      </c>
      <c r="N73" s="14">
        <f t="shared" si="18"/>
        <v>0.05</v>
      </c>
      <c r="O73" s="18">
        <f t="shared" si="19"/>
        <v>2914.5939320272173</v>
      </c>
      <c r="P73" s="12">
        <f t="shared" si="20"/>
        <v>7.2683140449553321</v>
      </c>
      <c r="Q73" s="19">
        <f t="shared" si="21"/>
        <v>2820.1058494427939</v>
      </c>
    </row>
    <row r="74" spans="2:17" ht="17.100000000000001" customHeight="1" x14ac:dyDescent="0.3">
      <c r="B74" s="7" t="s">
        <v>51</v>
      </c>
      <c r="C74" s="7" t="s">
        <v>45</v>
      </c>
      <c r="D74" s="12">
        <f>$C$11-137.5</f>
        <v>2862.5</v>
      </c>
      <c r="E74" s="9">
        <v>130</v>
      </c>
      <c r="F74" s="10">
        <f t="shared" si="12"/>
        <v>0.53030567685589525</v>
      </c>
      <c r="G74" s="11">
        <f t="shared" si="13"/>
        <v>75.900000000000006</v>
      </c>
      <c r="H74" s="10">
        <f t="shared" si="22"/>
        <v>11.935288935322925</v>
      </c>
      <c r="I74" s="12">
        <f t="shared" si="23"/>
        <v>1733.8000000000004</v>
      </c>
      <c r="J74" s="17">
        <f t="shared" si="14"/>
        <v>2905.3339376958957</v>
      </c>
      <c r="K74" s="12">
        <f t="shared" si="15"/>
        <v>7754.964577361864</v>
      </c>
      <c r="L74" s="12">
        <f t="shared" si="16"/>
        <v>2077.8717745662193</v>
      </c>
      <c r="M74" s="14">
        <f t="shared" si="17"/>
        <v>0.27410593028254349</v>
      </c>
      <c r="N74" s="14">
        <f t="shared" si="18"/>
        <v>0.05</v>
      </c>
      <c r="O74" s="18">
        <f t="shared" si="19"/>
        <v>2912.5972725401352</v>
      </c>
      <c r="P74" s="12">
        <f t="shared" si="20"/>
        <v>7.26333484423958</v>
      </c>
      <c r="Q74" s="19">
        <f t="shared" si="21"/>
        <v>2818.1739195650189</v>
      </c>
    </row>
    <row r="75" spans="2:17" ht="17.100000000000001" customHeight="1" x14ac:dyDescent="0.3">
      <c r="B75" s="7" t="s">
        <v>51</v>
      </c>
      <c r="C75" s="7" t="s">
        <v>46</v>
      </c>
      <c r="D75" s="12">
        <f>$C$11-140</f>
        <v>2860</v>
      </c>
      <c r="E75" s="9">
        <v>134</v>
      </c>
      <c r="F75" s="10">
        <f t="shared" si="12"/>
        <v>0.5468531468531469</v>
      </c>
      <c r="G75" s="11">
        <f t="shared" si="13"/>
        <v>78.2</v>
      </c>
      <c r="H75" s="10">
        <f t="shared" si="22"/>
        <v>12.482142082176072</v>
      </c>
      <c r="I75" s="12">
        <f t="shared" si="23"/>
        <v>1812.0000000000005</v>
      </c>
      <c r="J75" s="17">
        <f t="shared" si="14"/>
        <v>2903.3478197423397</v>
      </c>
      <c r="K75" s="12">
        <f t="shared" si="15"/>
        <v>7646.9263550235592</v>
      </c>
      <c r="L75" s="12">
        <f t="shared" si="16"/>
        <v>2112.7671134380234</v>
      </c>
      <c r="M75" s="14">
        <f t="shared" si="17"/>
        <v>0.26127024005663518</v>
      </c>
      <c r="N75" s="14">
        <f t="shared" si="18"/>
        <v>0.05</v>
      </c>
      <c r="O75" s="18">
        <f t="shared" si="19"/>
        <v>2910.6061892916955</v>
      </c>
      <c r="P75" s="12">
        <f t="shared" si="20"/>
        <v>7.258369549355848</v>
      </c>
      <c r="Q75" s="19">
        <f t="shared" si="21"/>
        <v>2816.2473851500695</v>
      </c>
    </row>
    <row r="76" spans="2:17" ht="17.100000000000001" customHeight="1" x14ac:dyDescent="0.3">
      <c r="B76" s="7" t="s">
        <v>51</v>
      </c>
      <c r="C76" s="7" t="s">
        <v>47</v>
      </c>
      <c r="D76" s="12">
        <f>$C$11-142.5</f>
        <v>2857.5</v>
      </c>
      <c r="E76" s="9">
        <v>138</v>
      </c>
      <c r="F76" s="10">
        <f t="shared" si="12"/>
        <v>0.56412948381452321</v>
      </c>
      <c r="G76" s="11">
        <f t="shared" si="13"/>
        <v>80.599999999999994</v>
      </c>
      <c r="H76" s="10">
        <f t="shared" si="22"/>
        <v>13.046271565990596</v>
      </c>
      <c r="I76" s="12">
        <f t="shared" si="23"/>
        <v>1892.6000000000004</v>
      </c>
      <c r="J76" s="17">
        <f t="shared" si="14"/>
        <v>2901.3653294381602</v>
      </c>
      <c r="K76" s="12">
        <f t="shared" si="15"/>
        <v>7535.1209998181203</v>
      </c>
      <c r="L76" s="12">
        <f t="shared" si="16"/>
        <v>2145.5907657146463</v>
      </c>
      <c r="M76" s="14">
        <f t="shared" si="17"/>
        <v>0.24913708986364083</v>
      </c>
      <c r="N76" s="14">
        <f t="shared" si="18"/>
        <v>0.05</v>
      </c>
      <c r="O76" s="18">
        <f t="shared" si="19"/>
        <v>2908.6187427617556</v>
      </c>
      <c r="P76" s="12">
        <f t="shared" si="20"/>
        <v>7.2534133235953959</v>
      </c>
      <c r="Q76" s="19">
        <f t="shared" si="21"/>
        <v>2814.3243695550154</v>
      </c>
    </row>
    <row r="77" spans="2:17" ht="17.100000000000001" customHeight="1" x14ac:dyDescent="0.3">
      <c r="B77" s="7" t="s">
        <v>51</v>
      </c>
      <c r="C77" s="7" t="s">
        <v>48</v>
      </c>
      <c r="D77" s="12">
        <f>$C$11-145</f>
        <v>2855</v>
      </c>
      <c r="E77" s="9">
        <v>142</v>
      </c>
      <c r="F77" s="10">
        <f t="shared" si="12"/>
        <v>0.5807355516637478</v>
      </c>
      <c r="G77" s="11">
        <f t="shared" si="13"/>
        <v>82.9</v>
      </c>
      <c r="H77" s="10">
        <f t="shared" si="22"/>
        <v>13.627007117654344</v>
      </c>
      <c r="I77" s="12">
        <f t="shared" si="23"/>
        <v>1975.5000000000005</v>
      </c>
      <c r="J77" s="17">
        <f t="shared" si="14"/>
        <v>2899.3894006860237</v>
      </c>
      <c r="K77" s="12">
        <f t="shared" si="15"/>
        <v>7419.6053209031443</v>
      </c>
      <c r="L77" s="12">
        <f t="shared" si="16"/>
        <v>2176.4347226958525</v>
      </c>
      <c r="M77" s="14">
        <f t="shared" si="17"/>
        <v>0.23767610413455253</v>
      </c>
      <c r="N77" s="14">
        <f t="shared" si="18"/>
        <v>0.05</v>
      </c>
      <c r="O77" s="18">
        <f t="shared" si="19"/>
        <v>2906.6378741877388</v>
      </c>
      <c r="P77" s="12">
        <f t="shared" si="20"/>
        <v>7.2484735017151252</v>
      </c>
      <c r="Q77" s="19">
        <f t="shared" si="21"/>
        <v>2812.4077186654431</v>
      </c>
    </row>
    <row r="78" spans="2:17" ht="17.100000000000001" customHeight="1" x14ac:dyDescent="0.3">
      <c r="B78" s="7" t="s">
        <v>51</v>
      </c>
      <c r="C78" s="7" t="s">
        <v>49</v>
      </c>
      <c r="D78" s="12">
        <f>$C$11-147.5</f>
        <v>2852.5</v>
      </c>
      <c r="E78" s="9">
        <v>146</v>
      </c>
      <c r="F78" s="10">
        <f t="shared" si="12"/>
        <v>0.59737072743207709</v>
      </c>
      <c r="G78" s="11">
        <f t="shared" si="13"/>
        <v>85.2</v>
      </c>
      <c r="H78" s="10">
        <f t="shared" si="22"/>
        <v>14.224377845086421</v>
      </c>
      <c r="I78" s="12">
        <f t="shared" si="23"/>
        <v>2060.7000000000003</v>
      </c>
      <c r="J78" s="17">
        <f t="shared" si="14"/>
        <v>2897.420221035306</v>
      </c>
      <c r="K78" s="12">
        <f t="shared" si="15"/>
        <v>7300.3378031090078</v>
      </c>
      <c r="L78" s="12">
        <f t="shared" si="16"/>
        <v>2205.4289201965585</v>
      </c>
      <c r="M78" s="14">
        <f t="shared" si="17"/>
        <v>0.22684349861645628</v>
      </c>
      <c r="N78" s="14">
        <f t="shared" si="18"/>
        <v>0.05</v>
      </c>
      <c r="O78" s="18">
        <f t="shared" si="19"/>
        <v>2904.6637715878942</v>
      </c>
      <c r="P78" s="12">
        <f t="shared" si="20"/>
        <v>7.2435505525882036</v>
      </c>
      <c r="Q78" s="19">
        <f t="shared" si="21"/>
        <v>2810.4976144042466</v>
      </c>
    </row>
    <row r="79" spans="2:17" ht="17.100000000000001" customHeight="1" x14ac:dyDescent="0.3">
      <c r="B79" s="7" t="s">
        <v>52</v>
      </c>
      <c r="C79" s="7" t="s">
        <v>30</v>
      </c>
      <c r="D79" s="12">
        <f>$C$11-150</f>
        <v>2850</v>
      </c>
      <c r="E79" s="9">
        <v>148</v>
      </c>
      <c r="F79" s="10">
        <f t="shared" si="12"/>
        <v>0.60631578947368425</v>
      </c>
      <c r="G79" s="11">
        <f t="shared" si="13"/>
        <v>86.4</v>
      </c>
      <c r="H79" s="10">
        <f t="shared" si="22"/>
        <v>14.830693634560106</v>
      </c>
      <c r="I79" s="12">
        <f t="shared" si="23"/>
        <v>2147.1000000000004</v>
      </c>
      <c r="J79" s="17">
        <f t="shared" si="14"/>
        <v>2895.4815639864514</v>
      </c>
      <c r="K79" s="12">
        <f t="shared" si="15"/>
        <v>7178.3768584962963</v>
      </c>
      <c r="L79" s="12">
        <f t="shared" si="16"/>
        <v>2232.366098595106</v>
      </c>
      <c r="M79" s="14">
        <f t="shared" si="17"/>
        <v>0.21671364961575229</v>
      </c>
      <c r="N79" s="14">
        <f t="shared" si="18"/>
        <v>0.05</v>
      </c>
      <c r="O79" s="18">
        <f t="shared" si="19"/>
        <v>2902.7202678964172</v>
      </c>
      <c r="P79" s="12">
        <f t="shared" si="20"/>
        <v>7.2387039099658068</v>
      </c>
      <c r="Q79" s="19">
        <f t="shared" si="21"/>
        <v>2808.6171170668576</v>
      </c>
    </row>
    <row r="80" spans="2:17" ht="17.100000000000001" customHeight="1" x14ac:dyDescent="0.3">
      <c r="B80" s="7" t="s">
        <v>52</v>
      </c>
      <c r="C80" s="7" t="s">
        <v>31</v>
      </c>
      <c r="D80" s="12">
        <f>$C$11-152.5</f>
        <v>2847.5</v>
      </c>
      <c r="E80" s="9">
        <v>156</v>
      </c>
      <c r="F80" s="10">
        <f t="shared" si="12"/>
        <v>0.63985952589991224</v>
      </c>
      <c r="G80" s="11">
        <f t="shared" si="13"/>
        <v>91.1</v>
      </c>
      <c r="H80" s="10">
        <f t="shared" si="22"/>
        <v>15.470553160460017</v>
      </c>
      <c r="I80" s="12">
        <f t="shared" si="23"/>
        <v>2238.2000000000003</v>
      </c>
      <c r="J80" s="17">
        <f t="shared" si="14"/>
        <v>2893.4970544174744</v>
      </c>
      <c r="K80" s="12">
        <f t="shared" si="15"/>
        <v>7050.2001244098901</v>
      </c>
      <c r="L80" s="12">
        <f t="shared" si="16"/>
        <v>2258.399755002541</v>
      </c>
      <c r="M80" s="14">
        <f t="shared" si="17"/>
        <v>0.20688331694379594</v>
      </c>
      <c r="N80" s="14">
        <f t="shared" si="18"/>
        <v>0.05</v>
      </c>
      <c r="O80" s="18">
        <f t="shared" si="19"/>
        <v>2900.730797053518</v>
      </c>
      <c r="P80" s="12">
        <f t="shared" si="20"/>
        <v>7.2337426360436439</v>
      </c>
      <c r="Q80" s="19">
        <f t="shared" si="21"/>
        <v>2806.6921427849502</v>
      </c>
    </row>
    <row r="81" spans="2:17" ht="17.100000000000001" customHeight="1" x14ac:dyDescent="0.3">
      <c r="B81" s="7" t="s">
        <v>52</v>
      </c>
      <c r="C81" s="7" t="s">
        <v>32</v>
      </c>
      <c r="D81" s="12">
        <f>$C$11-155</f>
        <v>2845</v>
      </c>
      <c r="E81" s="9">
        <v>164</v>
      </c>
      <c r="F81" s="10">
        <f t="shared" si="12"/>
        <v>0.6727592267135325</v>
      </c>
      <c r="G81" s="11">
        <f t="shared" si="13"/>
        <v>95.7</v>
      </c>
      <c r="H81" s="10">
        <f t="shared" si="22"/>
        <v>16.143312387173552</v>
      </c>
      <c r="I81" s="12">
        <f t="shared" si="23"/>
        <v>2333.9</v>
      </c>
      <c r="J81" s="17">
        <f t="shared" si="14"/>
        <v>2891.4759796810577</v>
      </c>
      <c r="K81" s="12">
        <f t="shared" si="15"/>
        <v>6915.823741508756</v>
      </c>
      <c r="L81" s="12">
        <f t="shared" si="16"/>
        <v>2283.4416304226011</v>
      </c>
      <c r="M81" s="14">
        <f t="shared" si="17"/>
        <v>0.1973843126809838</v>
      </c>
      <c r="N81" s="14">
        <f t="shared" si="18"/>
        <v>0.05</v>
      </c>
      <c r="O81" s="18">
        <f t="shared" si="19"/>
        <v>2898.70466963026</v>
      </c>
      <c r="P81" s="12">
        <f t="shared" si="20"/>
        <v>7.2286899492023622</v>
      </c>
      <c r="Q81" s="19">
        <f t="shared" si="21"/>
        <v>2804.7317002906257</v>
      </c>
    </row>
    <row r="82" spans="2:17" ht="17.100000000000001" customHeight="1" x14ac:dyDescent="0.3">
      <c r="B82" s="7" t="s">
        <v>52</v>
      </c>
      <c r="C82" s="7" t="s">
        <v>33</v>
      </c>
      <c r="D82" s="12">
        <f>$C$11-157.5</f>
        <v>2842.5</v>
      </c>
      <c r="E82" s="9">
        <v>172</v>
      </c>
      <c r="F82" s="10">
        <f t="shared" si="12"/>
        <v>0.70642040457343891</v>
      </c>
      <c r="G82" s="11">
        <f t="shared" si="13"/>
        <v>100.4</v>
      </c>
      <c r="H82" s="10">
        <f t="shared" si="22"/>
        <v>16.849732791746991</v>
      </c>
      <c r="I82" s="12">
        <f t="shared" si="23"/>
        <v>2434.3000000000002</v>
      </c>
      <c r="J82" s="17">
        <f t="shared" si="14"/>
        <v>2889.4226752276113</v>
      </c>
      <c r="K82" s="12">
        <f t="shared" si="15"/>
        <v>6775.0654605408236</v>
      </c>
      <c r="L82" s="12">
        <f t="shared" si="16"/>
        <v>2307.4788479194103</v>
      </c>
      <c r="M82" s="14">
        <f t="shared" si="17"/>
        <v>0.18822204118930155</v>
      </c>
      <c r="N82" s="14">
        <f t="shared" si="18"/>
        <v>0.05</v>
      </c>
      <c r="O82" s="18">
        <f t="shared" si="19"/>
        <v>2896.6462319156803</v>
      </c>
      <c r="P82" s="12">
        <f t="shared" si="20"/>
        <v>7.2235566880690385</v>
      </c>
      <c r="Q82" s="19">
        <f t="shared" si="21"/>
        <v>2802.7399949707828</v>
      </c>
    </row>
    <row r="83" spans="2:17" ht="17.100000000000001" customHeight="1" x14ac:dyDescent="0.3">
      <c r="B83" s="7" t="s">
        <v>52</v>
      </c>
      <c r="C83" s="7" t="s">
        <v>34</v>
      </c>
      <c r="D83" s="12">
        <f>$C$11-160</f>
        <v>2840</v>
      </c>
      <c r="E83" s="9">
        <v>180</v>
      </c>
      <c r="F83" s="10">
        <f t="shared" ref="F83:F114" si="24">(G83*$C$13)/D83</f>
        <v>0.74014084507042255</v>
      </c>
      <c r="G83" s="11">
        <f t="shared" ref="G83:G118" si="25">ROUND($C$12*E83/SUM($E$19:$E$118), 1)</f>
        <v>105.1</v>
      </c>
      <c r="H83" s="10">
        <f t="shared" si="22"/>
        <v>17.589873636817412</v>
      </c>
      <c r="I83" s="12">
        <f t="shared" si="23"/>
        <v>2539.4</v>
      </c>
      <c r="J83" s="17">
        <f t="shared" ref="J83:J114" si="26">I83*$C$13/H83</f>
        <v>2887.3430843582355</v>
      </c>
      <c r="K83" s="12">
        <f t="shared" ref="K83:K114" si="27">$C$12-I83+H83*(D83-J83)</f>
        <v>6627.8411285614511</v>
      </c>
      <c r="L83" s="12">
        <f t="shared" ref="L83:L118" si="28">(J83*H83-$C$12)/(H83*(1-$C$14))</f>
        <v>2330.4866010133305</v>
      </c>
      <c r="M83" s="14">
        <f t="shared" ref="M83:M114" si="29">(D83-L83)/D83</f>
        <v>0.17940612640375686</v>
      </c>
      <c r="N83" s="14">
        <f t="shared" ref="N83:N118" si="30">IF(OR(B83="1차",B83="2차"),0.1,IF(OR(B83="3차",B83="4차"),0.05,0.02))</f>
        <v>0.05</v>
      </c>
      <c r="O83" s="18">
        <f t="shared" ref="O83:O114" si="31">J83*(1+N83/$C$13)</f>
        <v>2894.5614420691309</v>
      </c>
      <c r="P83" s="12">
        <f t="shared" ref="P83:P114" si="32">O83-J83</f>
        <v>7.2183577108953614</v>
      </c>
      <c r="Q83" s="19">
        <f t="shared" ref="Q83:Q118" si="33">J83*(1-$C$15)</f>
        <v>2800.7227918274884</v>
      </c>
    </row>
    <row r="84" spans="2:17" ht="17.100000000000001" customHeight="1" x14ac:dyDescent="0.3">
      <c r="B84" s="7" t="s">
        <v>52</v>
      </c>
      <c r="C84" s="7" t="s">
        <v>35</v>
      </c>
      <c r="D84" s="12">
        <f>$C$11-162.5</f>
        <v>2837.5</v>
      </c>
      <c r="E84" s="9">
        <v>188</v>
      </c>
      <c r="F84" s="10">
        <f t="shared" si="24"/>
        <v>0.773215859030837</v>
      </c>
      <c r="G84" s="11">
        <f t="shared" si="25"/>
        <v>109.7</v>
      </c>
      <c r="H84" s="10">
        <f t="shared" ref="H84:H118" si="34">H83+F84</f>
        <v>18.36308949584825</v>
      </c>
      <c r="I84" s="12">
        <f t="shared" ref="I84:I118" si="35">I83+G84</f>
        <v>2649.1</v>
      </c>
      <c r="J84" s="17">
        <f t="shared" si="26"/>
        <v>2885.2443382132847</v>
      </c>
      <c r="K84" s="12">
        <f t="shared" si="27"/>
        <v>6474.1664444694061</v>
      </c>
      <c r="L84" s="12">
        <f t="shared" si="28"/>
        <v>2352.4358447153172</v>
      </c>
      <c r="M84" s="14">
        <f t="shared" si="29"/>
        <v>0.17094771992411728</v>
      </c>
      <c r="N84" s="14">
        <f t="shared" si="30"/>
        <v>0.05</v>
      </c>
      <c r="O84" s="18">
        <f t="shared" si="31"/>
        <v>2892.4574490588179</v>
      </c>
      <c r="P84" s="12">
        <f t="shared" si="32"/>
        <v>7.2131108455332651</v>
      </c>
      <c r="Q84" s="19">
        <f t="shared" si="33"/>
        <v>2798.6870080668859</v>
      </c>
    </row>
    <row r="85" spans="2:17" ht="17.100000000000001" customHeight="1" x14ac:dyDescent="0.3">
      <c r="B85" s="7" t="s">
        <v>52</v>
      </c>
      <c r="C85" s="7" t="s">
        <v>36</v>
      </c>
      <c r="D85" s="12">
        <f>$C$11-165</f>
        <v>2835</v>
      </c>
      <c r="E85" s="9">
        <v>196</v>
      </c>
      <c r="F85" s="10">
        <f t="shared" si="24"/>
        <v>0.80705467372134043</v>
      </c>
      <c r="G85" s="11">
        <f t="shared" si="25"/>
        <v>114.4</v>
      </c>
      <c r="H85" s="10">
        <f t="shared" si="34"/>
        <v>19.170144169569589</v>
      </c>
      <c r="I85" s="12">
        <f t="shared" si="35"/>
        <v>2763.5</v>
      </c>
      <c r="J85" s="17">
        <f t="shared" si="26"/>
        <v>2883.1290735796761</v>
      </c>
      <c r="K85" s="12">
        <f t="shared" si="27"/>
        <v>6313.8587207297869</v>
      </c>
      <c r="L85" s="12">
        <f t="shared" si="28"/>
        <v>2373.3513443997981</v>
      </c>
      <c r="M85" s="14">
        <f t="shared" si="29"/>
        <v>0.16283903195774316</v>
      </c>
      <c r="N85" s="14">
        <f t="shared" si="30"/>
        <v>0.05</v>
      </c>
      <c r="O85" s="18">
        <f t="shared" si="31"/>
        <v>2890.336896263625</v>
      </c>
      <c r="P85" s="12">
        <f t="shared" si="32"/>
        <v>7.2078226839489616</v>
      </c>
      <c r="Q85" s="19">
        <f t="shared" si="33"/>
        <v>2796.6352013722858</v>
      </c>
    </row>
    <row r="86" spans="2:17" ht="17.100000000000001" customHeight="1" x14ac:dyDescent="0.3">
      <c r="B86" s="7" t="s">
        <v>52</v>
      </c>
      <c r="C86" s="7" t="s">
        <v>37</v>
      </c>
      <c r="D86" s="12">
        <f>$C$11-167.5</f>
        <v>2832.5</v>
      </c>
      <c r="E86" s="9">
        <v>204</v>
      </c>
      <c r="F86" s="10">
        <f t="shared" si="24"/>
        <v>0.84095322153574581</v>
      </c>
      <c r="G86" s="11">
        <f t="shared" si="25"/>
        <v>119.1</v>
      </c>
      <c r="H86" s="10">
        <f t="shared" si="34"/>
        <v>20.011097391105334</v>
      </c>
      <c r="I86" s="12">
        <f t="shared" si="35"/>
        <v>2882.6</v>
      </c>
      <c r="J86" s="17">
        <f t="shared" si="26"/>
        <v>2881.0014200233491</v>
      </c>
      <c r="K86" s="12">
        <f t="shared" si="27"/>
        <v>6146.8333603058554</v>
      </c>
      <c r="L86" s="12">
        <f t="shared" si="28"/>
        <v>2393.2449255741103</v>
      </c>
      <c r="M86" s="14">
        <f t="shared" si="29"/>
        <v>0.15507681356606873</v>
      </c>
      <c r="N86" s="14">
        <f t="shared" si="30"/>
        <v>0.05</v>
      </c>
      <c r="O86" s="18">
        <f t="shared" si="31"/>
        <v>2888.2039235734073</v>
      </c>
      <c r="P86" s="12">
        <f t="shared" si="32"/>
        <v>7.2025035500582817</v>
      </c>
      <c r="Q86" s="19">
        <f t="shared" si="33"/>
        <v>2794.5713774226483</v>
      </c>
    </row>
    <row r="87" spans="2:17" ht="17.100000000000001" customHeight="1" x14ac:dyDescent="0.3">
      <c r="B87" s="7" t="s">
        <v>52</v>
      </c>
      <c r="C87" s="7" t="s">
        <v>38</v>
      </c>
      <c r="D87" s="12">
        <f>$C$11-170</f>
        <v>2830</v>
      </c>
      <c r="E87" s="9">
        <v>212</v>
      </c>
      <c r="F87" s="10">
        <f t="shared" si="24"/>
        <v>0.87491166077738514</v>
      </c>
      <c r="G87" s="11">
        <f t="shared" si="25"/>
        <v>123.8</v>
      </c>
      <c r="H87" s="10">
        <f t="shared" si="34"/>
        <v>20.88600905188272</v>
      </c>
      <c r="I87" s="12">
        <f t="shared" si="35"/>
        <v>3006.4</v>
      </c>
      <c r="J87" s="17">
        <f t="shared" si="26"/>
        <v>2878.8649784952527</v>
      </c>
      <c r="K87" s="12">
        <f t="shared" si="27"/>
        <v>5973.0056168280989</v>
      </c>
      <c r="L87" s="12">
        <f t="shared" si="28"/>
        <v>2412.136247396008</v>
      </c>
      <c r="M87" s="14">
        <f t="shared" si="29"/>
        <v>0.14765503625582757</v>
      </c>
      <c r="N87" s="14">
        <f t="shared" si="30"/>
        <v>0.05</v>
      </c>
      <c r="O87" s="18">
        <f t="shared" si="31"/>
        <v>2886.0621409414907</v>
      </c>
      <c r="P87" s="12">
        <f t="shared" si="32"/>
        <v>7.1971624462380532</v>
      </c>
      <c r="Q87" s="19">
        <f t="shared" si="33"/>
        <v>2792.4990291403951</v>
      </c>
    </row>
    <row r="88" spans="2:17" ht="17.100000000000001" customHeight="1" x14ac:dyDescent="0.3">
      <c r="B88" s="7" t="s">
        <v>52</v>
      </c>
      <c r="C88" s="7" t="s">
        <v>39</v>
      </c>
      <c r="D88" s="12">
        <f>$C$11-172.5</f>
        <v>2827.5</v>
      </c>
      <c r="E88" s="9">
        <v>220</v>
      </c>
      <c r="F88" s="10">
        <f t="shared" si="24"/>
        <v>0.90822281167108754</v>
      </c>
      <c r="G88" s="11">
        <f t="shared" si="25"/>
        <v>128.4</v>
      </c>
      <c r="H88" s="10">
        <f t="shared" si="34"/>
        <v>21.794231863553808</v>
      </c>
      <c r="I88" s="12">
        <f t="shared" si="35"/>
        <v>3134.8</v>
      </c>
      <c r="J88" s="17">
        <f t="shared" si="26"/>
        <v>2876.7244651024225</v>
      </c>
      <c r="K88" s="12">
        <f t="shared" si="27"/>
        <v>5792.3905941983903</v>
      </c>
      <c r="L88" s="12">
        <f t="shared" si="28"/>
        <v>2430.0376517818972</v>
      </c>
      <c r="M88" s="14">
        <f t="shared" si="29"/>
        <v>0.14057023809658806</v>
      </c>
      <c r="N88" s="14">
        <f t="shared" si="30"/>
        <v>0.05</v>
      </c>
      <c r="O88" s="18">
        <f t="shared" si="31"/>
        <v>2883.9162762651786</v>
      </c>
      <c r="P88" s="12">
        <f t="shared" si="32"/>
        <v>7.1918111627560393</v>
      </c>
      <c r="Q88" s="19">
        <f t="shared" si="33"/>
        <v>2790.4227311493496</v>
      </c>
    </row>
    <row r="89" spans="2:17" ht="17.100000000000001" customHeight="1" x14ac:dyDescent="0.3">
      <c r="B89" s="7" t="s">
        <v>52</v>
      </c>
      <c r="C89" s="7" t="s">
        <v>40</v>
      </c>
      <c r="D89" s="12">
        <f>$C$11-175</f>
        <v>2825</v>
      </c>
      <c r="E89" s="9">
        <v>228</v>
      </c>
      <c r="F89" s="10">
        <f t="shared" si="24"/>
        <v>0.94230088495575226</v>
      </c>
      <c r="G89" s="11">
        <f t="shared" si="25"/>
        <v>133.1</v>
      </c>
      <c r="H89" s="10">
        <f t="shared" si="34"/>
        <v>22.736532748509561</v>
      </c>
      <c r="I89" s="12">
        <f t="shared" si="35"/>
        <v>3267.9</v>
      </c>
      <c r="J89" s="17">
        <f t="shared" si="26"/>
        <v>2874.5807781216945</v>
      </c>
      <c r="K89" s="12">
        <f t="shared" si="27"/>
        <v>5604.8050145395073</v>
      </c>
      <c r="L89" s="12">
        <f t="shared" si="28"/>
        <v>2446.9949538884598</v>
      </c>
      <c r="M89" s="14">
        <f t="shared" si="29"/>
        <v>0.13380709596868678</v>
      </c>
      <c r="N89" s="14">
        <f t="shared" si="30"/>
        <v>0.05</v>
      </c>
      <c r="O89" s="18">
        <f t="shared" si="31"/>
        <v>2881.7672300669988</v>
      </c>
      <c r="P89" s="12">
        <f t="shared" si="32"/>
        <v>7.1864519453042703</v>
      </c>
      <c r="Q89" s="19">
        <f t="shared" si="33"/>
        <v>2788.3433547780437</v>
      </c>
    </row>
    <row r="90" spans="2:17" ht="17.100000000000001" customHeight="1" x14ac:dyDescent="0.3">
      <c r="B90" s="7" t="s">
        <v>52</v>
      </c>
      <c r="C90" s="7" t="s">
        <v>41</v>
      </c>
      <c r="D90" s="12">
        <f>$C$11-177.5</f>
        <v>2822.5</v>
      </c>
      <c r="E90" s="9">
        <v>236</v>
      </c>
      <c r="F90" s="10">
        <f t="shared" si="24"/>
        <v>0.97643932683790968</v>
      </c>
      <c r="G90" s="11">
        <f t="shared" si="25"/>
        <v>137.80000000000001</v>
      </c>
      <c r="H90" s="10">
        <f t="shared" si="34"/>
        <v>23.712972075347469</v>
      </c>
      <c r="I90" s="12">
        <f t="shared" si="35"/>
        <v>3405.7000000000003</v>
      </c>
      <c r="J90" s="17">
        <f t="shared" si="26"/>
        <v>2872.4362253524864</v>
      </c>
      <c r="K90" s="12">
        <f t="shared" si="27"/>
        <v>5410.1636826682306</v>
      </c>
      <c r="L90" s="12">
        <f t="shared" si="28"/>
        <v>2463.0413246036742</v>
      </c>
      <c r="M90" s="14">
        <f t="shared" si="29"/>
        <v>0.12735471227504899</v>
      </c>
      <c r="N90" s="14">
        <f t="shared" si="30"/>
        <v>0.05</v>
      </c>
      <c r="O90" s="18">
        <f t="shared" si="31"/>
        <v>2879.6173159158675</v>
      </c>
      <c r="P90" s="12">
        <f t="shared" si="32"/>
        <v>7.1810905633810762</v>
      </c>
      <c r="Q90" s="19">
        <f t="shared" si="33"/>
        <v>2786.2631385919117</v>
      </c>
    </row>
    <row r="91" spans="2:17" ht="17.100000000000001" customHeight="1" x14ac:dyDescent="0.3">
      <c r="B91" s="7" t="s">
        <v>52</v>
      </c>
      <c r="C91" s="7" t="s">
        <v>42</v>
      </c>
      <c r="D91" s="12">
        <f>$C$11-180</f>
        <v>2820</v>
      </c>
      <c r="E91" s="9">
        <v>244</v>
      </c>
      <c r="F91" s="10">
        <f t="shared" si="24"/>
        <v>1.0099290780141843</v>
      </c>
      <c r="G91" s="11">
        <f t="shared" si="25"/>
        <v>142.4</v>
      </c>
      <c r="H91" s="10">
        <f t="shared" si="34"/>
        <v>24.722901153361654</v>
      </c>
      <c r="I91" s="12">
        <f t="shared" si="35"/>
        <v>3548.1000000000004</v>
      </c>
      <c r="J91" s="17">
        <f t="shared" si="26"/>
        <v>2870.2942085885038</v>
      </c>
      <c r="K91" s="12">
        <f t="shared" si="27"/>
        <v>5208.4812524798672</v>
      </c>
      <c r="L91" s="12">
        <f t="shared" si="28"/>
        <v>2478.201944362499</v>
      </c>
      <c r="M91" s="14">
        <f t="shared" si="29"/>
        <v>0.12120498426861737</v>
      </c>
      <c r="N91" s="14">
        <f t="shared" si="30"/>
        <v>0.05</v>
      </c>
      <c r="O91" s="18">
        <f t="shared" si="31"/>
        <v>2877.4699441099751</v>
      </c>
      <c r="P91" s="12">
        <f t="shared" si="32"/>
        <v>7.1757355214713243</v>
      </c>
      <c r="Q91" s="19">
        <f t="shared" si="33"/>
        <v>2784.1853823308488</v>
      </c>
    </row>
    <row r="92" spans="2:17" ht="17.100000000000001" customHeight="1" x14ac:dyDescent="0.3">
      <c r="B92" s="7" t="s">
        <v>52</v>
      </c>
      <c r="C92" s="7" t="s">
        <v>43</v>
      </c>
      <c r="D92" s="12">
        <f>$C$11-182.5</f>
        <v>2817.5</v>
      </c>
      <c r="E92" s="9">
        <v>252</v>
      </c>
      <c r="F92" s="10">
        <f t="shared" si="24"/>
        <v>1.0441881100266193</v>
      </c>
      <c r="G92" s="11">
        <f t="shared" si="25"/>
        <v>147.1</v>
      </c>
      <c r="H92" s="10">
        <f t="shared" si="34"/>
        <v>25.767089263388275</v>
      </c>
      <c r="I92" s="12">
        <f t="shared" si="35"/>
        <v>3695.2000000000003</v>
      </c>
      <c r="J92" s="17">
        <f t="shared" si="26"/>
        <v>2868.1547707838345</v>
      </c>
      <c r="K92" s="12">
        <f t="shared" si="27"/>
        <v>4999.5739995964641</v>
      </c>
      <c r="L92" s="12">
        <f t="shared" si="28"/>
        <v>2492.5254448276532</v>
      </c>
      <c r="M92" s="14">
        <f t="shared" si="29"/>
        <v>0.11534145702656495</v>
      </c>
      <c r="N92" s="14">
        <f t="shared" si="30"/>
        <v>0.05</v>
      </c>
      <c r="O92" s="18">
        <f t="shared" si="31"/>
        <v>2875.325157710794</v>
      </c>
      <c r="P92" s="12">
        <f t="shared" si="32"/>
        <v>7.1703869269595089</v>
      </c>
      <c r="Q92" s="19">
        <f t="shared" si="33"/>
        <v>2782.1101276603194</v>
      </c>
    </row>
    <row r="93" spans="2:17" ht="17.100000000000001" customHeight="1" x14ac:dyDescent="0.3">
      <c r="B93" s="7" t="s">
        <v>52</v>
      </c>
      <c r="C93" s="7" t="s">
        <v>44</v>
      </c>
      <c r="D93" s="12">
        <f>$C$11-185</f>
        <v>2815</v>
      </c>
      <c r="E93" s="9">
        <v>260</v>
      </c>
      <c r="F93" s="10">
        <f t="shared" si="24"/>
        <v>1.0785079928952042</v>
      </c>
      <c r="G93" s="11">
        <f t="shared" si="25"/>
        <v>151.80000000000001</v>
      </c>
      <c r="H93" s="10">
        <f t="shared" si="34"/>
        <v>26.845597256283479</v>
      </c>
      <c r="I93" s="12">
        <f t="shared" si="35"/>
        <v>3847.0000000000005</v>
      </c>
      <c r="J93" s="17">
        <f t="shared" si="26"/>
        <v>2866.0193053440612</v>
      </c>
      <c r="K93" s="12">
        <f t="shared" si="27"/>
        <v>4783.3562764379822</v>
      </c>
      <c r="L93" s="12">
        <f t="shared" si="28"/>
        <v>2506.0489907260694</v>
      </c>
      <c r="M93" s="14">
        <f t="shared" si="29"/>
        <v>0.10975169068345669</v>
      </c>
      <c r="N93" s="14">
        <f t="shared" si="30"/>
        <v>0.05</v>
      </c>
      <c r="O93" s="18">
        <f t="shared" si="31"/>
        <v>2873.1843536074211</v>
      </c>
      <c r="P93" s="12">
        <f t="shared" si="32"/>
        <v>7.1650482633599495</v>
      </c>
      <c r="Q93" s="19">
        <f t="shared" si="33"/>
        <v>2780.0387261837391</v>
      </c>
    </row>
    <row r="94" spans="2:17" ht="17.100000000000001" customHeight="1" x14ac:dyDescent="0.3">
      <c r="B94" s="7" t="s">
        <v>52</v>
      </c>
      <c r="C94" s="7" t="s">
        <v>45</v>
      </c>
      <c r="D94" s="12">
        <f>$C$11-187.5</f>
        <v>2812.5</v>
      </c>
      <c r="E94" s="9">
        <v>268</v>
      </c>
      <c r="F94" s="10">
        <f t="shared" si="24"/>
        <v>1.1128888888888888</v>
      </c>
      <c r="G94" s="11">
        <f t="shared" si="25"/>
        <v>156.5</v>
      </c>
      <c r="H94" s="10">
        <f t="shared" si="34"/>
        <v>27.958486145172369</v>
      </c>
      <c r="I94" s="12">
        <f t="shared" si="35"/>
        <v>4003.5000000000005</v>
      </c>
      <c r="J94" s="17">
        <f t="shared" si="26"/>
        <v>2863.8889668146717</v>
      </c>
      <c r="K94" s="12">
        <f t="shared" si="27"/>
        <v>4559.7422832972788</v>
      </c>
      <c r="L94" s="12">
        <f t="shared" si="28"/>
        <v>2518.8098592714296</v>
      </c>
      <c r="M94" s="14">
        <f t="shared" si="29"/>
        <v>0.10442316114793615</v>
      </c>
      <c r="N94" s="14">
        <f t="shared" si="30"/>
        <v>0.05</v>
      </c>
      <c r="O94" s="18">
        <f t="shared" si="31"/>
        <v>2871.0486892317081</v>
      </c>
      <c r="P94" s="12">
        <f t="shared" si="32"/>
        <v>7.1597224170363916</v>
      </c>
      <c r="Q94" s="19">
        <f t="shared" si="33"/>
        <v>2777.9722978102313</v>
      </c>
    </row>
    <row r="95" spans="2:17" ht="17.100000000000001" customHeight="1" x14ac:dyDescent="0.3">
      <c r="B95" s="7" t="s">
        <v>52</v>
      </c>
      <c r="C95" s="7" t="s">
        <v>46</v>
      </c>
      <c r="D95" s="12">
        <f>$C$11-190</f>
        <v>2810</v>
      </c>
      <c r="E95" s="9">
        <v>276</v>
      </c>
      <c r="F95" s="10">
        <f t="shared" si="24"/>
        <v>1.1466192170818506</v>
      </c>
      <c r="G95" s="11">
        <f t="shared" si="25"/>
        <v>161.1</v>
      </c>
      <c r="H95" s="10">
        <f t="shared" si="34"/>
        <v>29.105105362254221</v>
      </c>
      <c r="I95" s="12">
        <f t="shared" si="35"/>
        <v>4164.6000000000004</v>
      </c>
      <c r="J95" s="17">
        <f t="shared" si="26"/>
        <v>2861.7659672869486</v>
      </c>
      <c r="K95" s="12">
        <f t="shared" si="27"/>
        <v>4328.7460679343558</v>
      </c>
      <c r="L95" s="12">
        <f t="shared" si="28"/>
        <v>2530.837823492855</v>
      </c>
      <c r="M95" s="14">
        <f t="shared" si="29"/>
        <v>9.934597028724021E-2</v>
      </c>
      <c r="N95" s="14">
        <f t="shared" si="30"/>
        <v>0.05</v>
      </c>
      <c r="O95" s="18">
        <f t="shared" si="31"/>
        <v>2868.9203822051659</v>
      </c>
      <c r="P95" s="12">
        <f t="shared" si="32"/>
        <v>7.1544149182172987</v>
      </c>
      <c r="Q95" s="19">
        <f t="shared" si="33"/>
        <v>2775.9129882683401</v>
      </c>
    </row>
    <row r="96" spans="2:17" ht="17.100000000000001" customHeight="1" x14ac:dyDescent="0.3">
      <c r="B96" s="7" t="s">
        <v>52</v>
      </c>
      <c r="C96" s="7" t="s">
        <v>47</v>
      </c>
      <c r="D96" s="12">
        <f>$C$11-192.5</f>
        <v>2807.5</v>
      </c>
      <c r="E96" s="9">
        <v>284</v>
      </c>
      <c r="F96" s="10">
        <f t="shared" si="24"/>
        <v>1.1811219946571683</v>
      </c>
      <c r="G96" s="11">
        <f t="shared" si="25"/>
        <v>165.8</v>
      </c>
      <c r="H96" s="10">
        <f t="shared" si="34"/>
        <v>30.28622735691139</v>
      </c>
      <c r="I96" s="12">
        <f t="shared" si="35"/>
        <v>4330.4000000000005</v>
      </c>
      <c r="J96" s="17">
        <f t="shared" si="26"/>
        <v>2859.6496677964701</v>
      </c>
      <c r="K96" s="12">
        <f t="shared" si="27"/>
        <v>4090.1833045287058</v>
      </c>
      <c r="L96" s="12">
        <f t="shared" si="28"/>
        <v>2542.1774695404788</v>
      </c>
      <c r="M96" s="14">
        <f t="shared" si="29"/>
        <v>9.4504908445065428E-2</v>
      </c>
      <c r="N96" s="14">
        <f t="shared" si="30"/>
        <v>0.05</v>
      </c>
      <c r="O96" s="18">
        <f t="shared" si="31"/>
        <v>2866.7987919659613</v>
      </c>
      <c r="P96" s="12">
        <f t="shared" si="32"/>
        <v>7.1491241694911878</v>
      </c>
      <c r="Q96" s="19">
        <f t="shared" si="33"/>
        <v>2773.8601777625759</v>
      </c>
    </row>
    <row r="97" spans="2:17" ht="17.100000000000001" customHeight="1" x14ac:dyDescent="0.3">
      <c r="B97" s="7" t="s">
        <v>52</v>
      </c>
      <c r="C97" s="7" t="s">
        <v>48</v>
      </c>
      <c r="D97" s="12">
        <f>$C$11-195</f>
        <v>2805</v>
      </c>
      <c r="E97" s="9">
        <v>292</v>
      </c>
      <c r="F97" s="10">
        <f t="shared" si="24"/>
        <v>1.2156862745098038</v>
      </c>
      <c r="G97" s="11">
        <f t="shared" si="25"/>
        <v>170.5</v>
      </c>
      <c r="H97" s="10">
        <f t="shared" si="34"/>
        <v>31.501913631421193</v>
      </c>
      <c r="I97" s="12">
        <f t="shared" si="35"/>
        <v>4500.9000000000005</v>
      </c>
      <c r="J97" s="17">
        <f t="shared" si="26"/>
        <v>2857.5406895348947</v>
      </c>
      <c r="K97" s="12">
        <f t="shared" si="27"/>
        <v>3843.967736136432</v>
      </c>
      <c r="L97" s="12">
        <f t="shared" si="28"/>
        <v>2552.8639765648568</v>
      </c>
      <c r="M97" s="14">
        <f t="shared" si="29"/>
        <v>8.9888065395772987E-2</v>
      </c>
      <c r="N97" s="14">
        <f t="shared" si="30"/>
        <v>0.05</v>
      </c>
      <c r="O97" s="18">
        <f t="shared" si="31"/>
        <v>2864.6845412587318</v>
      </c>
      <c r="P97" s="12">
        <f t="shared" si="32"/>
        <v>7.1438517238370878</v>
      </c>
      <c r="Q97" s="19">
        <f t="shared" si="33"/>
        <v>2771.8144688488478</v>
      </c>
    </row>
    <row r="98" spans="2:17" ht="17.100000000000001" customHeight="1" x14ac:dyDescent="0.3">
      <c r="B98" s="7" t="s">
        <v>52</v>
      </c>
      <c r="C98" s="7" t="s">
        <v>49</v>
      </c>
      <c r="D98" s="12">
        <f>$C$11-197.5</f>
        <v>2802.5</v>
      </c>
      <c r="E98" s="9">
        <v>300</v>
      </c>
      <c r="F98" s="10">
        <f t="shared" si="24"/>
        <v>1.2495985727029437</v>
      </c>
      <c r="G98" s="11">
        <f t="shared" si="25"/>
        <v>175.1</v>
      </c>
      <c r="H98" s="10">
        <f t="shared" si="34"/>
        <v>32.75151220412414</v>
      </c>
      <c r="I98" s="12">
        <f t="shared" si="35"/>
        <v>4676.0000000000009</v>
      </c>
      <c r="J98" s="17">
        <f t="shared" si="26"/>
        <v>2855.4406714760421</v>
      </c>
      <c r="K98" s="12">
        <f t="shared" si="27"/>
        <v>3590.1129520578797</v>
      </c>
      <c r="L98" s="12">
        <f t="shared" si="28"/>
        <v>2562.925887797403</v>
      </c>
      <c r="M98" s="14">
        <f t="shared" si="29"/>
        <v>8.5485856272113123E-2</v>
      </c>
      <c r="N98" s="14">
        <f t="shared" si="30"/>
        <v>0.05</v>
      </c>
      <c r="O98" s="18">
        <f t="shared" si="31"/>
        <v>2862.5792731547322</v>
      </c>
      <c r="P98" s="12">
        <f t="shared" si="32"/>
        <v>7.1386016786900655</v>
      </c>
      <c r="Q98" s="19">
        <f t="shared" si="33"/>
        <v>2769.7774513317609</v>
      </c>
    </row>
    <row r="99" spans="2:17" ht="17.100000000000001" customHeight="1" x14ac:dyDescent="0.3">
      <c r="B99" s="7" t="s">
        <v>53</v>
      </c>
      <c r="C99" s="7" t="s">
        <v>30</v>
      </c>
      <c r="D99" s="12">
        <f>$C$11-200</f>
        <v>2800</v>
      </c>
      <c r="E99" s="9">
        <v>304</v>
      </c>
      <c r="F99" s="10">
        <f t="shared" si="24"/>
        <v>1.2678571428571428</v>
      </c>
      <c r="G99" s="11">
        <f t="shared" si="25"/>
        <v>177.5</v>
      </c>
      <c r="H99" s="10">
        <f t="shared" si="34"/>
        <v>34.019369346981286</v>
      </c>
      <c r="I99" s="12">
        <f t="shared" si="35"/>
        <v>4853.5000000000009</v>
      </c>
      <c r="J99" s="17">
        <f t="shared" si="26"/>
        <v>2853.3744705826989</v>
      </c>
      <c r="K99" s="12">
        <f t="shared" si="27"/>
        <v>3330.7341715475777</v>
      </c>
      <c r="L99" s="12">
        <f t="shared" si="28"/>
        <v>2572.2857115870438</v>
      </c>
      <c r="M99" s="14">
        <f t="shared" si="29"/>
        <v>8.132653157605578E-2</v>
      </c>
      <c r="N99" s="14">
        <f t="shared" si="30"/>
        <v>0.02</v>
      </c>
      <c r="O99" s="18">
        <f t="shared" si="31"/>
        <v>2856.2278450532813</v>
      </c>
      <c r="P99" s="12">
        <f t="shared" si="32"/>
        <v>2.8533744705823665</v>
      </c>
      <c r="Q99" s="19">
        <f t="shared" si="33"/>
        <v>2767.7732364652179</v>
      </c>
    </row>
    <row r="100" spans="2:17" ht="17.100000000000001" customHeight="1" x14ac:dyDescent="0.3">
      <c r="B100" s="7" t="s">
        <v>53</v>
      </c>
      <c r="C100" s="7" t="s">
        <v>31</v>
      </c>
      <c r="D100" s="12">
        <f>$C$11-202.5</f>
        <v>2797.5</v>
      </c>
      <c r="E100" s="9">
        <v>320</v>
      </c>
      <c r="F100" s="10">
        <f t="shared" si="24"/>
        <v>1.3354781054512959</v>
      </c>
      <c r="G100" s="11">
        <f t="shared" si="25"/>
        <v>186.8</v>
      </c>
      <c r="H100" s="10">
        <f t="shared" si="34"/>
        <v>35.35484745243258</v>
      </c>
      <c r="I100" s="12">
        <f t="shared" si="35"/>
        <v>5040.3000000000011</v>
      </c>
      <c r="J100" s="17">
        <f t="shared" si="26"/>
        <v>2851.2638934626234</v>
      </c>
      <c r="K100" s="12">
        <f t="shared" si="27"/>
        <v>3058.8857481801115</v>
      </c>
      <c r="L100" s="12">
        <f t="shared" si="28"/>
        <v>2581.3238674152362</v>
      </c>
      <c r="M100" s="14">
        <f t="shared" si="29"/>
        <v>7.7274756956126456E-2</v>
      </c>
      <c r="N100" s="14">
        <f t="shared" si="30"/>
        <v>0.02</v>
      </c>
      <c r="O100" s="18">
        <f t="shared" si="31"/>
        <v>2854.1151573560855</v>
      </c>
      <c r="P100" s="12">
        <f t="shared" si="32"/>
        <v>2.8512638934621464</v>
      </c>
      <c r="Q100" s="19">
        <f t="shared" si="33"/>
        <v>2765.7259766587445</v>
      </c>
    </row>
    <row r="101" spans="2:17" ht="17.100000000000001" customHeight="1" x14ac:dyDescent="0.3">
      <c r="B101" s="7" t="s">
        <v>53</v>
      </c>
      <c r="C101" s="7" t="s">
        <v>32</v>
      </c>
      <c r="D101" s="12">
        <f>$C$11-205</f>
        <v>2795</v>
      </c>
      <c r="E101" s="9">
        <v>336</v>
      </c>
      <c r="F101" s="10">
        <f t="shared" si="24"/>
        <v>1.4032200357781752</v>
      </c>
      <c r="G101" s="11">
        <f t="shared" si="25"/>
        <v>196.1</v>
      </c>
      <c r="H101" s="10">
        <f t="shared" si="34"/>
        <v>36.758067488210756</v>
      </c>
      <c r="I101" s="12">
        <f t="shared" si="35"/>
        <v>5236.4000000000015</v>
      </c>
      <c r="J101" s="17">
        <f t="shared" si="26"/>
        <v>2849.1160487038378</v>
      </c>
      <c r="K101" s="12">
        <f t="shared" si="27"/>
        <v>2774.3986295490286</v>
      </c>
      <c r="L101" s="12">
        <f t="shared" si="28"/>
        <v>2590.0170113958488</v>
      </c>
      <c r="M101" s="14">
        <f t="shared" si="29"/>
        <v>7.3339173024741022E-2</v>
      </c>
      <c r="N101" s="14">
        <f t="shared" si="30"/>
        <v>0.02</v>
      </c>
      <c r="O101" s="18">
        <f t="shared" si="31"/>
        <v>2851.9651647525411</v>
      </c>
      <c r="P101" s="12">
        <f t="shared" si="32"/>
        <v>2.8491160487033085</v>
      </c>
      <c r="Q101" s="19">
        <f t="shared" si="33"/>
        <v>2763.6425672427226</v>
      </c>
    </row>
    <row r="102" spans="2:17" ht="17.100000000000001" customHeight="1" x14ac:dyDescent="0.3">
      <c r="B102" s="7" t="s">
        <v>53</v>
      </c>
      <c r="C102" s="7" t="s">
        <v>33</v>
      </c>
      <c r="D102" s="12">
        <f>$C$11-207.5</f>
        <v>2792.5</v>
      </c>
      <c r="E102" s="9">
        <v>352</v>
      </c>
      <c r="F102" s="10">
        <f t="shared" si="24"/>
        <v>1.4717994628469113</v>
      </c>
      <c r="G102" s="11">
        <f t="shared" si="25"/>
        <v>205.5</v>
      </c>
      <c r="H102" s="10">
        <f t="shared" si="34"/>
        <v>38.229866951057666</v>
      </c>
      <c r="I102" s="12">
        <f t="shared" si="35"/>
        <v>5441.9000000000015</v>
      </c>
      <c r="J102" s="17">
        <f t="shared" si="26"/>
        <v>2846.9364054898683</v>
      </c>
      <c r="K102" s="12">
        <f t="shared" si="27"/>
        <v>2477.0034608285077</v>
      </c>
      <c r="L102" s="12">
        <f t="shared" si="28"/>
        <v>2598.3525784696985</v>
      </c>
      <c r="M102" s="14">
        <f t="shared" si="29"/>
        <v>6.9524591416401604E-2</v>
      </c>
      <c r="N102" s="14">
        <f t="shared" si="30"/>
        <v>0.02</v>
      </c>
      <c r="O102" s="18">
        <f t="shared" si="31"/>
        <v>2849.7833418953578</v>
      </c>
      <c r="P102" s="12">
        <f t="shared" si="32"/>
        <v>2.8469364054894868</v>
      </c>
      <c r="Q102" s="19">
        <f t="shared" si="33"/>
        <v>2761.5283133251723</v>
      </c>
    </row>
    <row r="103" spans="2:17" ht="17.100000000000001" customHeight="1" x14ac:dyDescent="0.3">
      <c r="B103" s="7" t="s">
        <v>53</v>
      </c>
      <c r="C103" s="7" t="s">
        <v>34</v>
      </c>
      <c r="D103" s="12">
        <f>$C$11-210</f>
        <v>2790</v>
      </c>
      <c r="E103" s="9">
        <v>368</v>
      </c>
      <c r="F103" s="10">
        <f t="shared" si="24"/>
        <v>1.5397849462365591</v>
      </c>
      <c r="G103" s="11">
        <f t="shared" si="25"/>
        <v>214.8</v>
      </c>
      <c r="H103" s="10">
        <f t="shared" si="34"/>
        <v>39.769651897294224</v>
      </c>
      <c r="I103" s="12">
        <f t="shared" si="35"/>
        <v>5656.7000000000016</v>
      </c>
      <c r="J103" s="17">
        <f t="shared" si="26"/>
        <v>2844.7319652726765</v>
      </c>
      <c r="K103" s="12">
        <f t="shared" si="27"/>
        <v>2166.6287934508591</v>
      </c>
      <c r="L103" s="12">
        <f t="shared" si="28"/>
        <v>2606.3155285898993</v>
      </c>
      <c r="M103" s="14">
        <f t="shared" si="29"/>
        <v>6.5836728103978767E-2</v>
      </c>
      <c r="N103" s="14">
        <f t="shared" si="30"/>
        <v>0.02</v>
      </c>
      <c r="O103" s="18">
        <f t="shared" si="31"/>
        <v>2847.5766972379488</v>
      </c>
      <c r="P103" s="12">
        <f t="shared" si="32"/>
        <v>2.8447319652723309</v>
      </c>
      <c r="Q103" s="19">
        <f t="shared" si="33"/>
        <v>2759.3900063144961</v>
      </c>
    </row>
    <row r="104" spans="2:17" ht="17.100000000000001" customHeight="1" x14ac:dyDescent="0.3">
      <c r="B104" s="7" t="s">
        <v>53</v>
      </c>
      <c r="C104" s="7" t="s">
        <v>35</v>
      </c>
      <c r="D104" s="12">
        <f>$C$11-212.5</f>
        <v>2787.5</v>
      </c>
      <c r="E104" s="9">
        <v>384</v>
      </c>
      <c r="F104" s="10">
        <f t="shared" si="24"/>
        <v>1.6086098654708521</v>
      </c>
      <c r="G104" s="11">
        <f t="shared" si="25"/>
        <v>224.2</v>
      </c>
      <c r="H104" s="10">
        <f t="shared" si="34"/>
        <v>41.378261762765078</v>
      </c>
      <c r="I104" s="12">
        <f t="shared" si="35"/>
        <v>5880.9000000000015</v>
      </c>
      <c r="J104" s="17">
        <f t="shared" si="26"/>
        <v>2842.5070312122334</v>
      </c>
      <c r="K104" s="12">
        <f t="shared" si="27"/>
        <v>1843.0046637076157</v>
      </c>
      <c r="L104" s="12">
        <f t="shared" si="28"/>
        <v>2613.9037591757369</v>
      </c>
      <c r="M104" s="14">
        <f t="shared" si="29"/>
        <v>6.227667832260559E-2</v>
      </c>
      <c r="N104" s="14">
        <f t="shared" si="30"/>
        <v>0.02</v>
      </c>
      <c r="O104" s="18">
        <f t="shared" si="31"/>
        <v>2845.3495382434453</v>
      </c>
      <c r="P104" s="12">
        <f t="shared" si="32"/>
        <v>2.8425070312118805</v>
      </c>
      <c r="Q104" s="19">
        <f t="shared" si="33"/>
        <v>2757.2318202758665</v>
      </c>
    </row>
    <row r="105" spans="2:17" ht="17.100000000000001" customHeight="1" x14ac:dyDescent="0.3">
      <c r="B105" s="7" t="s">
        <v>53</v>
      </c>
      <c r="C105" s="7" t="s">
        <v>36</v>
      </c>
      <c r="D105" s="12">
        <f>$C$11-215</f>
        <v>2785</v>
      </c>
      <c r="E105" s="9">
        <v>400</v>
      </c>
      <c r="F105" s="10">
        <f t="shared" si="24"/>
        <v>1.6768402154398563</v>
      </c>
      <c r="G105" s="11">
        <f t="shared" si="25"/>
        <v>233.5</v>
      </c>
      <c r="H105" s="10">
        <f t="shared" si="34"/>
        <v>43.055101978204931</v>
      </c>
      <c r="I105" s="12">
        <f t="shared" si="35"/>
        <v>6114.4000000000015</v>
      </c>
      <c r="J105" s="17">
        <f t="shared" si="26"/>
        <v>2840.2673407185021</v>
      </c>
      <c r="K105" s="12">
        <f t="shared" si="27"/>
        <v>1506.0590093006949</v>
      </c>
      <c r="L105" s="12">
        <f t="shared" si="28"/>
        <v>2621.1123913644428</v>
      </c>
      <c r="M105" s="14">
        <f t="shared" si="29"/>
        <v>5.8846538109715324E-2</v>
      </c>
      <c r="N105" s="14">
        <f t="shared" si="30"/>
        <v>0.02</v>
      </c>
      <c r="O105" s="18">
        <f t="shared" si="31"/>
        <v>2843.1076080592202</v>
      </c>
      <c r="P105" s="12">
        <f t="shared" si="32"/>
        <v>2.8402673407181283</v>
      </c>
      <c r="Q105" s="19">
        <f t="shared" si="33"/>
        <v>2755.0593204969468</v>
      </c>
    </row>
    <row r="106" spans="2:17" ht="17.100000000000001" customHeight="1" x14ac:dyDescent="0.3">
      <c r="B106" s="7" t="s">
        <v>53</v>
      </c>
      <c r="C106" s="7" t="s">
        <v>37</v>
      </c>
      <c r="D106" s="12">
        <f>$C$11-217.5</f>
        <v>2782.5</v>
      </c>
      <c r="E106" s="9">
        <v>416</v>
      </c>
      <c r="F106" s="10">
        <f t="shared" si="24"/>
        <v>1.745193171608266</v>
      </c>
      <c r="G106" s="11">
        <f t="shared" si="25"/>
        <v>242.8</v>
      </c>
      <c r="H106" s="10">
        <f t="shared" si="34"/>
        <v>44.800295149813195</v>
      </c>
      <c r="I106" s="12">
        <f t="shared" si="35"/>
        <v>6357.2000000000016</v>
      </c>
      <c r="J106" s="17">
        <f t="shared" si="26"/>
        <v>2838.0170169599919</v>
      </c>
      <c r="K106" s="12">
        <f t="shared" si="27"/>
        <v>1155.621254355176</v>
      </c>
      <c r="L106" s="12">
        <f t="shared" si="28"/>
        <v>2627.9439214157469</v>
      </c>
      <c r="M106" s="14">
        <f t="shared" si="29"/>
        <v>5.5545760497485393E-2</v>
      </c>
      <c r="N106" s="14">
        <f t="shared" si="30"/>
        <v>0.02</v>
      </c>
      <c r="O106" s="18">
        <f t="shared" si="31"/>
        <v>2840.8550339769517</v>
      </c>
      <c r="P106" s="12">
        <f t="shared" si="32"/>
        <v>2.8380170169598387</v>
      </c>
      <c r="Q106" s="19">
        <f t="shared" si="33"/>
        <v>2752.8765064511922</v>
      </c>
    </row>
    <row r="107" spans="2:17" ht="17.100000000000001" customHeight="1" x14ac:dyDescent="0.3">
      <c r="B107" s="7" t="s">
        <v>53</v>
      </c>
      <c r="C107" s="7" t="s">
        <v>38</v>
      </c>
      <c r="D107" s="12">
        <f>$C$11-220</f>
        <v>2780</v>
      </c>
      <c r="E107" s="9">
        <v>432</v>
      </c>
      <c r="F107" s="10">
        <f t="shared" si="24"/>
        <v>1.814388489208633</v>
      </c>
      <c r="G107" s="11">
        <f t="shared" si="25"/>
        <v>252.2</v>
      </c>
      <c r="H107" s="10">
        <f t="shared" si="34"/>
        <v>46.614683639021827</v>
      </c>
      <c r="I107" s="12">
        <f t="shared" si="35"/>
        <v>6609.4000000000015</v>
      </c>
      <c r="J107" s="17">
        <f t="shared" si="26"/>
        <v>2835.7588141892597</v>
      </c>
      <c r="K107" s="12">
        <f t="shared" si="27"/>
        <v>791.42051648065444</v>
      </c>
      <c r="L107" s="12">
        <f t="shared" si="28"/>
        <v>2634.4061669755051</v>
      </c>
      <c r="M107" s="14">
        <f t="shared" si="29"/>
        <v>5.2371882382911822E-2</v>
      </c>
      <c r="N107" s="14">
        <f t="shared" si="30"/>
        <v>0.02</v>
      </c>
      <c r="O107" s="18">
        <f t="shared" si="31"/>
        <v>2838.5945730034487</v>
      </c>
      <c r="P107" s="12">
        <f t="shared" si="32"/>
        <v>2.835758814188921</v>
      </c>
      <c r="Q107" s="19">
        <f t="shared" si="33"/>
        <v>2750.6860497635817</v>
      </c>
    </row>
    <row r="108" spans="2:17" ht="17.100000000000001" customHeight="1" x14ac:dyDescent="0.3">
      <c r="B108" s="7" t="s">
        <v>53</v>
      </c>
      <c r="C108" s="7" t="s">
        <v>39</v>
      </c>
      <c r="D108" s="12">
        <f>$C$11-222.5</f>
        <v>2777.5</v>
      </c>
      <c r="E108" s="9">
        <v>448</v>
      </c>
      <c r="F108" s="10">
        <f t="shared" si="24"/>
        <v>1.8829882988298829</v>
      </c>
      <c r="G108" s="11">
        <f t="shared" si="25"/>
        <v>261.5</v>
      </c>
      <c r="H108" s="10">
        <f t="shared" si="34"/>
        <v>48.497671937851713</v>
      </c>
      <c r="I108" s="12">
        <f t="shared" si="35"/>
        <v>6870.9000000000015</v>
      </c>
      <c r="J108" s="17">
        <f t="shared" si="26"/>
        <v>2833.4968362212726</v>
      </c>
      <c r="K108" s="12">
        <f t="shared" si="27"/>
        <v>413.38380738310843</v>
      </c>
      <c r="L108" s="12">
        <f t="shared" si="28"/>
        <v>2640.5038910195371</v>
      </c>
      <c r="M108" s="14">
        <f t="shared" si="29"/>
        <v>4.9323531586125235E-2</v>
      </c>
      <c r="N108" s="14">
        <f t="shared" si="30"/>
        <v>0.02</v>
      </c>
      <c r="O108" s="18">
        <f t="shared" si="31"/>
        <v>2836.3303330574936</v>
      </c>
      <c r="P108" s="12">
        <f t="shared" si="32"/>
        <v>2.833496836221002</v>
      </c>
      <c r="Q108" s="19">
        <f t="shared" si="33"/>
        <v>2748.4919311346343</v>
      </c>
    </row>
    <row r="109" spans="2:17" ht="17.100000000000001" customHeight="1" x14ac:dyDescent="0.3">
      <c r="B109" s="7" t="s">
        <v>53</v>
      </c>
      <c r="C109" s="7" t="s">
        <v>40</v>
      </c>
      <c r="D109" s="12">
        <f>$C$11-225</f>
        <v>2775</v>
      </c>
      <c r="E109" s="9">
        <v>464</v>
      </c>
      <c r="F109" s="10">
        <f t="shared" si="24"/>
        <v>1.9524324324324325</v>
      </c>
      <c r="G109" s="11">
        <f t="shared" si="25"/>
        <v>270.89999999999998</v>
      </c>
      <c r="H109" s="10">
        <f t="shared" si="34"/>
        <v>50.450104370284144</v>
      </c>
      <c r="I109" s="12">
        <f t="shared" si="35"/>
        <v>7141.8000000000011</v>
      </c>
      <c r="J109" s="17">
        <f t="shared" si="26"/>
        <v>2831.2329931299914</v>
      </c>
      <c r="K109" s="12">
        <f t="shared" si="27"/>
        <v>21.239627538459899</v>
      </c>
      <c r="L109" s="12">
        <f t="shared" si="28"/>
        <v>2646.2485906486108</v>
      </c>
      <c r="M109" s="14">
        <f t="shared" si="29"/>
        <v>4.6396904270770867E-2</v>
      </c>
      <c r="N109" s="14">
        <f t="shared" si="30"/>
        <v>0.02</v>
      </c>
      <c r="O109" s="18">
        <f t="shared" si="31"/>
        <v>2834.064226123121</v>
      </c>
      <c r="P109" s="12">
        <f t="shared" si="32"/>
        <v>2.8312329931295608</v>
      </c>
      <c r="Q109" s="19">
        <f t="shared" si="33"/>
        <v>2746.2960033360914</v>
      </c>
    </row>
    <row r="110" spans="2:17" ht="17.100000000000001" customHeight="1" x14ac:dyDescent="0.3">
      <c r="B110" s="7" t="s">
        <v>53</v>
      </c>
      <c r="C110" s="7" t="s">
        <v>41</v>
      </c>
      <c r="D110" s="12">
        <f>$C$11-227.5</f>
        <v>2772.5</v>
      </c>
      <c r="E110" s="9">
        <v>480</v>
      </c>
      <c r="F110" s="10">
        <f t="shared" si="24"/>
        <v>2.0212804328223624</v>
      </c>
      <c r="G110" s="11">
        <f t="shared" si="25"/>
        <v>280.2</v>
      </c>
      <c r="H110" s="10">
        <f t="shared" si="34"/>
        <v>52.47138480310651</v>
      </c>
      <c r="I110" s="12">
        <f t="shared" si="35"/>
        <v>7422.0000000000009</v>
      </c>
      <c r="J110" s="17">
        <f t="shared" si="26"/>
        <v>2828.9705056766829</v>
      </c>
      <c r="K110" s="12">
        <f t="shared" si="27"/>
        <v>-385.08563338724161</v>
      </c>
      <c r="L110" s="12">
        <f t="shared" si="28"/>
        <v>2651.6486826877581</v>
      </c>
      <c r="M110" s="14">
        <f t="shared" si="29"/>
        <v>4.3589293890799609E-2</v>
      </c>
      <c r="N110" s="14">
        <f t="shared" si="30"/>
        <v>0.02</v>
      </c>
      <c r="O110" s="18">
        <f t="shared" si="31"/>
        <v>2831.7994761823593</v>
      </c>
      <c r="P110" s="12">
        <f t="shared" si="32"/>
        <v>2.8289705056763523</v>
      </c>
      <c r="Q110" s="19">
        <f t="shared" si="33"/>
        <v>2744.1013905063824</v>
      </c>
    </row>
    <row r="111" spans="2:17" ht="17.100000000000001" customHeight="1" x14ac:dyDescent="0.3">
      <c r="B111" s="7" t="s">
        <v>53</v>
      </c>
      <c r="C111" s="7" t="s">
        <v>42</v>
      </c>
      <c r="D111" s="12">
        <f>$C$11-230</f>
        <v>2770</v>
      </c>
      <c r="E111" s="9">
        <v>496</v>
      </c>
      <c r="F111" s="10">
        <f t="shared" si="24"/>
        <v>2.0909747292418772</v>
      </c>
      <c r="G111" s="11">
        <f t="shared" si="25"/>
        <v>289.60000000000002</v>
      </c>
      <c r="H111" s="10">
        <f t="shared" si="34"/>
        <v>54.562359532348388</v>
      </c>
      <c r="I111" s="12">
        <f t="shared" si="35"/>
        <v>7711.6000000000013</v>
      </c>
      <c r="J111" s="17">
        <f t="shared" si="26"/>
        <v>2826.7105990634532</v>
      </c>
      <c r="K111" s="12">
        <f t="shared" si="27"/>
        <v>-805.864095394993</v>
      </c>
      <c r="L111" s="12">
        <f t="shared" si="28"/>
        <v>2656.7176559448003</v>
      </c>
      <c r="M111" s="14">
        <f t="shared" si="29"/>
        <v>4.0896153088519745E-2</v>
      </c>
      <c r="N111" s="14">
        <f t="shared" si="30"/>
        <v>0.02</v>
      </c>
      <c r="O111" s="18">
        <f t="shared" si="31"/>
        <v>2829.5373096625162</v>
      </c>
      <c r="P111" s="12">
        <f t="shared" si="32"/>
        <v>2.8267105990630625</v>
      </c>
      <c r="Q111" s="19">
        <f t="shared" si="33"/>
        <v>2741.9092810915495</v>
      </c>
    </row>
    <row r="112" spans="2:17" ht="17.100000000000001" customHeight="1" x14ac:dyDescent="0.3">
      <c r="B112" s="7" t="s">
        <v>53</v>
      </c>
      <c r="C112" s="7" t="s">
        <v>43</v>
      </c>
      <c r="D112" s="12">
        <f>$C$11-232.5</f>
        <v>2767.5</v>
      </c>
      <c r="E112" s="9">
        <v>512</v>
      </c>
      <c r="F112" s="10">
        <f t="shared" si="24"/>
        <v>2.1600722673893404</v>
      </c>
      <c r="G112" s="11">
        <f t="shared" si="25"/>
        <v>298.89999999999998</v>
      </c>
      <c r="H112" s="10">
        <f t="shared" si="34"/>
        <v>56.722431799737727</v>
      </c>
      <c r="I112" s="12">
        <f t="shared" si="35"/>
        <v>8010.5000000000009</v>
      </c>
      <c r="J112" s="17">
        <f t="shared" si="26"/>
        <v>2824.4557737868495</v>
      </c>
      <c r="K112" s="12">
        <f t="shared" si="27"/>
        <v>-1241.1699942258601</v>
      </c>
      <c r="L112" s="12">
        <f t="shared" si="28"/>
        <v>2661.4660079030864</v>
      </c>
      <c r="M112" s="14">
        <f t="shared" si="29"/>
        <v>3.8313998951007629E-2</v>
      </c>
      <c r="N112" s="14">
        <f t="shared" si="30"/>
        <v>0.02</v>
      </c>
      <c r="O112" s="18">
        <f t="shared" si="31"/>
        <v>2827.2802295606361</v>
      </c>
      <c r="P112" s="12">
        <f t="shared" si="32"/>
        <v>2.8244557737866671</v>
      </c>
      <c r="Q112" s="19">
        <f t="shared" si="33"/>
        <v>2739.722100573244</v>
      </c>
    </row>
    <row r="113" spans="2:17" ht="17.100000000000001" customHeight="1" x14ac:dyDescent="0.3">
      <c r="B113" s="7" t="s">
        <v>53</v>
      </c>
      <c r="C113" s="7" t="s">
        <v>44</v>
      </c>
      <c r="D113" s="12">
        <f>$C$11-235</f>
        <v>2765</v>
      </c>
      <c r="E113" s="9">
        <v>528</v>
      </c>
      <c r="F113" s="10">
        <f t="shared" si="24"/>
        <v>2.2292947558770342</v>
      </c>
      <c r="G113" s="11">
        <f t="shared" si="25"/>
        <v>308.2</v>
      </c>
      <c r="H113" s="10">
        <f t="shared" si="34"/>
        <v>58.951726555614762</v>
      </c>
      <c r="I113" s="12">
        <f t="shared" si="35"/>
        <v>8318.7000000000007</v>
      </c>
      <c r="J113" s="17">
        <f t="shared" si="26"/>
        <v>2822.2074181838188</v>
      </c>
      <c r="K113" s="12">
        <f t="shared" si="27"/>
        <v>-1691.176073725193</v>
      </c>
      <c r="L113" s="12">
        <f t="shared" si="28"/>
        <v>2665.9066354351999</v>
      </c>
      <c r="M113" s="14">
        <f t="shared" si="29"/>
        <v>3.5838468197034408E-2</v>
      </c>
      <c r="N113" s="14">
        <f t="shared" si="30"/>
        <v>0.02</v>
      </c>
      <c r="O113" s="18">
        <f t="shared" si="31"/>
        <v>2825.0296256020024</v>
      </c>
      <c r="P113" s="12">
        <f t="shared" si="32"/>
        <v>2.8222074181835524</v>
      </c>
      <c r="Q113" s="19">
        <f t="shared" si="33"/>
        <v>2737.5411956383041</v>
      </c>
    </row>
    <row r="114" spans="2:17" ht="17.100000000000001" customHeight="1" x14ac:dyDescent="0.3">
      <c r="B114" s="7" t="s">
        <v>53</v>
      </c>
      <c r="C114" s="7" t="s">
        <v>45</v>
      </c>
      <c r="D114" s="12">
        <f>$C$11-237.5</f>
        <v>2762.5</v>
      </c>
      <c r="E114" s="9">
        <v>544</v>
      </c>
      <c r="F114" s="10">
        <f t="shared" si="24"/>
        <v>2.2993665158371042</v>
      </c>
      <c r="G114" s="11">
        <f t="shared" si="25"/>
        <v>317.60000000000002</v>
      </c>
      <c r="H114" s="10">
        <f t="shared" si="34"/>
        <v>61.251093071451869</v>
      </c>
      <c r="I114" s="12">
        <f t="shared" si="35"/>
        <v>8636.3000000000011</v>
      </c>
      <c r="J114" s="17">
        <f t="shared" si="26"/>
        <v>2819.9660012354097</v>
      </c>
      <c r="K114" s="12">
        <f t="shared" si="27"/>
        <v>-2156.1553901142515</v>
      </c>
      <c r="L114" s="12">
        <f t="shared" si="28"/>
        <v>2670.0538780946245</v>
      </c>
      <c r="M114" s="14">
        <f t="shared" si="29"/>
        <v>3.3464659513258117E-2</v>
      </c>
      <c r="N114" s="14">
        <f t="shared" si="30"/>
        <v>0.02</v>
      </c>
      <c r="O114" s="18">
        <f t="shared" si="31"/>
        <v>2822.7859672366449</v>
      </c>
      <c r="P114" s="12">
        <f t="shared" si="32"/>
        <v>2.819966001235116</v>
      </c>
      <c r="Q114" s="19">
        <f t="shared" si="33"/>
        <v>2735.3670211983472</v>
      </c>
    </row>
    <row r="115" spans="2:17" ht="17.100000000000001" customHeight="1" x14ac:dyDescent="0.3">
      <c r="B115" s="7" t="s">
        <v>53</v>
      </c>
      <c r="C115" s="7" t="s">
        <v>46</v>
      </c>
      <c r="D115" s="12">
        <f>$C$11-240</f>
        <v>2760</v>
      </c>
      <c r="E115" s="9">
        <v>560</v>
      </c>
      <c r="F115" s="10">
        <f t="shared" ref="F115:F146" si="36">(G115*$C$13)/D115</f>
        <v>2.3688405797101448</v>
      </c>
      <c r="G115" s="11">
        <f t="shared" si="25"/>
        <v>326.89999999999998</v>
      </c>
      <c r="H115" s="10">
        <f t="shared" si="34"/>
        <v>63.619933651162015</v>
      </c>
      <c r="I115" s="12">
        <f t="shared" si="35"/>
        <v>8963.2000000000007</v>
      </c>
      <c r="J115" s="17">
        <f t="shared" ref="J115:J146" si="37">I115*$C$13/H115</f>
        <v>2817.7332120924925</v>
      </c>
      <c r="K115" s="12">
        <f t="shared" ref="K115:K146" si="38">$C$12-I115+H115*(D115-J115)</f>
        <v>-2636.1831227928396</v>
      </c>
      <c r="L115" s="12">
        <f t="shared" si="28"/>
        <v>2673.9193693141251</v>
      </c>
      <c r="M115" s="14">
        <f t="shared" ref="M115:M146" si="39">(D115-L115)/D115</f>
        <v>3.118863430647641E-2</v>
      </c>
      <c r="N115" s="14">
        <f t="shared" si="30"/>
        <v>0.02</v>
      </c>
      <c r="O115" s="18">
        <f t="shared" ref="O115:O146" si="40">J115*(1+N115/$C$13)</f>
        <v>2820.5509453045847</v>
      </c>
      <c r="P115" s="12">
        <f t="shared" ref="P115:P146" si="41">O115-J115</f>
        <v>2.8177332120922074</v>
      </c>
      <c r="Q115" s="19">
        <f t="shared" si="33"/>
        <v>2733.2012157297177</v>
      </c>
    </row>
    <row r="116" spans="2:17" ht="17.100000000000001" customHeight="1" x14ac:dyDescent="0.3">
      <c r="B116" s="7" t="s">
        <v>53</v>
      </c>
      <c r="C116" s="7" t="s">
        <v>47</v>
      </c>
      <c r="D116" s="12">
        <f>$C$11-242.5</f>
        <v>2757.5</v>
      </c>
      <c r="E116" s="9">
        <v>576</v>
      </c>
      <c r="F116" s="10">
        <f t="shared" si="36"/>
        <v>2.4391659111514055</v>
      </c>
      <c r="G116" s="11">
        <f t="shared" si="25"/>
        <v>336.3</v>
      </c>
      <c r="H116" s="10">
        <f t="shared" si="34"/>
        <v>66.059099562313421</v>
      </c>
      <c r="I116" s="12">
        <f t="shared" si="35"/>
        <v>9299.5</v>
      </c>
      <c r="J116" s="17">
        <f t="shared" si="37"/>
        <v>2815.5091612254869</v>
      </c>
      <c r="K116" s="12">
        <f t="shared" si="38"/>
        <v>-3131.5329569207288</v>
      </c>
      <c r="L116" s="12">
        <f t="shared" si="28"/>
        <v>2677.5171479964119</v>
      </c>
      <c r="M116" s="14">
        <f t="shared" si="39"/>
        <v>2.9005567363041905E-2</v>
      </c>
      <c r="N116" s="14">
        <f t="shared" si="30"/>
        <v>0.02</v>
      </c>
      <c r="O116" s="18">
        <f t="shared" si="40"/>
        <v>2818.3246703867121</v>
      </c>
      <c r="P116" s="12">
        <f t="shared" si="41"/>
        <v>2.8155091612252363</v>
      </c>
      <c r="Q116" s="19">
        <f t="shared" si="33"/>
        <v>2731.0438863887221</v>
      </c>
    </row>
    <row r="117" spans="2:17" ht="17.100000000000001" customHeight="1" x14ac:dyDescent="0.3">
      <c r="B117" s="7" t="s">
        <v>53</v>
      </c>
      <c r="C117" s="7" t="s">
        <v>48</v>
      </c>
      <c r="D117" s="12">
        <f>$C$11-245</f>
        <v>2755</v>
      </c>
      <c r="E117" s="9">
        <v>592</v>
      </c>
      <c r="F117" s="10">
        <f t="shared" si="36"/>
        <v>2.5088929219600726</v>
      </c>
      <c r="G117" s="11">
        <f t="shared" si="25"/>
        <v>345.6</v>
      </c>
      <c r="H117" s="10">
        <f t="shared" si="34"/>
        <v>68.567992484273489</v>
      </c>
      <c r="I117" s="12">
        <f t="shared" si="35"/>
        <v>9645.1</v>
      </c>
      <c r="J117" s="17">
        <f t="shared" si="37"/>
        <v>2813.2951397730262</v>
      </c>
      <c r="K117" s="12">
        <f t="shared" si="38"/>
        <v>-3642.2807058265348</v>
      </c>
      <c r="L117" s="12">
        <f t="shared" si="28"/>
        <v>2680.8587923847813</v>
      </c>
      <c r="M117" s="14">
        <f t="shared" si="39"/>
        <v>2.691150911623184E-2</v>
      </c>
      <c r="N117" s="14">
        <f t="shared" si="30"/>
        <v>0.02</v>
      </c>
      <c r="O117" s="18">
        <f t="shared" si="40"/>
        <v>2816.1084349127991</v>
      </c>
      <c r="P117" s="12">
        <f t="shared" si="41"/>
        <v>2.8132951397728903</v>
      </c>
      <c r="Q117" s="19">
        <f t="shared" si="33"/>
        <v>2728.8962855798354</v>
      </c>
    </row>
    <row r="118" spans="2:17" ht="17.100000000000001" customHeight="1" x14ac:dyDescent="0.3">
      <c r="B118" s="7" t="s">
        <v>53</v>
      </c>
      <c r="C118" s="7" t="s">
        <v>49</v>
      </c>
      <c r="D118" s="12">
        <f>$C$11-247.5</f>
        <v>2752.5</v>
      </c>
      <c r="E118" s="9">
        <v>608</v>
      </c>
      <c r="F118" s="10">
        <f t="shared" si="36"/>
        <v>2.5787465940054495</v>
      </c>
      <c r="G118" s="11">
        <f t="shared" si="25"/>
        <v>354.9</v>
      </c>
      <c r="H118" s="10">
        <f t="shared" si="34"/>
        <v>71.146739078278941</v>
      </c>
      <c r="I118" s="12">
        <f t="shared" si="35"/>
        <v>10000</v>
      </c>
      <c r="J118" s="17">
        <f t="shared" si="37"/>
        <v>2811.0915917024772</v>
      </c>
      <c r="K118" s="12">
        <f t="shared" si="38"/>
        <v>-4168.6006870372003</v>
      </c>
      <c r="L118" s="12">
        <f t="shared" si="28"/>
        <v>2683.9567960978425</v>
      </c>
      <c r="M118" s="14">
        <f t="shared" si="39"/>
        <v>2.4902163088885571E-2</v>
      </c>
      <c r="N118" s="14">
        <f t="shared" si="30"/>
        <v>0.02</v>
      </c>
      <c r="O118" s="18">
        <f t="shared" si="40"/>
        <v>2813.9026832941795</v>
      </c>
      <c r="P118" s="12">
        <f t="shared" si="41"/>
        <v>2.8110915917022794</v>
      </c>
      <c r="Q118" s="19">
        <f t="shared" si="33"/>
        <v>2726.7588439514029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18"/>
  <sheetViews>
    <sheetView workbookViewId="0"/>
  </sheetViews>
  <sheetFormatPr defaultRowHeight="16.5" x14ac:dyDescent="0.3"/>
  <cols>
    <col min="1" max="1" width="3" customWidth="1"/>
    <col min="2" max="3" width="8" customWidth="1"/>
    <col min="4" max="4" width="12" customWidth="1"/>
    <col min="5" max="5" width="10" customWidth="1"/>
    <col min="6" max="6" width="12" customWidth="1"/>
    <col min="7" max="7" width="13" customWidth="1"/>
    <col min="8" max="9" width="12" customWidth="1"/>
    <col min="10" max="12" width="13" customWidth="1"/>
    <col min="13" max="13" width="11" customWidth="1"/>
    <col min="14" max="14" width="9" customWidth="1"/>
    <col min="15" max="15" width="13" customWidth="1"/>
    <col min="16" max="16" width="11" customWidth="1"/>
    <col min="17" max="17" width="14" customWidth="1"/>
  </cols>
  <sheetData>
    <row r="2" spans="2:17" ht="30" customHeight="1" x14ac:dyDescent="0.3">
      <c r="B2" s="30" t="s">
        <v>54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20.100000000000001" customHeight="1" x14ac:dyDescent="0.3">
      <c r="B3" s="32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18" customHeight="1" x14ac:dyDescent="0.3">
      <c r="B4" s="26" t="s">
        <v>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2:17" ht="18" customHeight="1" x14ac:dyDescent="0.3">
      <c r="B5" s="29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8" customHeight="1" x14ac:dyDescent="0.3">
      <c r="B6" s="29" t="s">
        <v>56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2:17" ht="18" customHeight="1" x14ac:dyDescent="0.3">
      <c r="B7" s="29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2:17" ht="18" customHeight="1" x14ac:dyDescent="0.3">
      <c r="B8" s="23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2:17" ht="18" customHeight="1" x14ac:dyDescent="0.3">
      <c r="B9" s="20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1" spans="2:17" ht="18" customHeight="1" x14ac:dyDescent="0.3">
      <c r="B11" s="1" t="s">
        <v>57</v>
      </c>
      <c r="C11" s="2">
        <v>3000</v>
      </c>
    </row>
    <row r="12" spans="2:17" ht="18" customHeight="1" x14ac:dyDescent="0.3">
      <c r="B12" s="1" t="s">
        <v>9</v>
      </c>
      <c r="C12" s="2">
        <v>10000</v>
      </c>
    </row>
    <row r="13" spans="2:17" ht="18" customHeight="1" x14ac:dyDescent="0.3">
      <c r="B13" s="1" t="s">
        <v>10</v>
      </c>
      <c r="C13" s="3">
        <v>20</v>
      </c>
    </row>
    <row r="14" spans="2:17" ht="18" customHeight="1" x14ac:dyDescent="0.3">
      <c r="B14" s="1" t="s">
        <v>11</v>
      </c>
      <c r="C14" s="4">
        <v>5.0000000000000001E-3</v>
      </c>
    </row>
    <row r="15" spans="2:17" ht="18" customHeight="1" x14ac:dyDescent="0.3">
      <c r="B15" s="1" t="s">
        <v>12</v>
      </c>
      <c r="C15" s="5">
        <v>0.03</v>
      </c>
    </row>
    <row r="18" spans="2:17" ht="27.95" customHeight="1" x14ac:dyDescent="0.3">
      <c r="B18" s="6" t="s">
        <v>13</v>
      </c>
      <c r="C18" s="6" t="s">
        <v>14</v>
      </c>
      <c r="D18" s="6" t="s">
        <v>15</v>
      </c>
      <c r="E18" s="6" t="s">
        <v>16</v>
      </c>
      <c r="F18" s="6" t="s">
        <v>58</v>
      </c>
      <c r="G18" s="6" t="s">
        <v>18</v>
      </c>
      <c r="H18" s="6" t="s">
        <v>59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  <c r="O18" s="6" t="s">
        <v>26</v>
      </c>
      <c r="P18" s="6" t="s">
        <v>55</v>
      </c>
      <c r="Q18" s="6" t="s">
        <v>28</v>
      </c>
    </row>
    <row r="19" spans="2:17" ht="17.100000000000001" customHeight="1" x14ac:dyDescent="0.3">
      <c r="B19" s="7" t="s">
        <v>29</v>
      </c>
      <c r="C19" s="7" t="s">
        <v>30</v>
      </c>
      <c r="D19" s="12">
        <f>$C$11+0</f>
        <v>3000</v>
      </c>
      <c r="E19" s="9">
        <v>10</v>
      </c>
      <c r="F19" s="10">
        <f t="shared" ref="F19:F50" si="0">(G19*$C$13)/D19</f>
        <v>3.8666666666666669E-2</v>
      </c>
      <c r="G19" s="11">
        <f t="shared" ref="G19:G50" si="1">ROUND($C$12*E19/SUM($E$19:$E$118), 1)</f>
        <v>5.8</v>
      </c>
      <c r="H19" s="10">
        <f>F19</f>
        <v>3.8666666666666669E-2</v>
      </c>
      <c r="I19" s="12">
        <f>G19</f>
        <v>5.8</v>
      </c>
      <c r="J19" s="17">
        <f t="shared" ref="J19:J50" si="2">I19*$C$13/H19</f>
        <v>3000</v>
      </c>
      <c r="K19" s="12">
        <f t="shared" ref="K19:K50" si="3">$C$12-I19+H19*(J19-D19)</f>
        <v>9994.2000000000007</v>
      </c>
      <c r="L19" s="12">
        <f t="shared" ref="L19:L50" si="4">(J19*H19+$C$12)/(H19*(1+$C$14))</f>
        <v>260319.09418425115</v>
      </c>
      <c r="M19" s="14">
        <f t="shared" ref="M19:M50" si="5">(L19-D19)/D19</f>
        <v>85.77303139475039</v>
      </c>
      <c r="N19" s="14">
        <f t="shared" ref="N19:N50" si="6">IF(OR(B19="1차",B19="2차"),0.1,IF(OR(B19="3차",B19="4차"),0.05,0.02))</f>
        <v>0.1</v>
      </c>
      <c r="O19" s="18">
        <f t="shared" ref="O19:O50" si="7">J19*(1-N19/$C$13)</f>
        <v>2985</v>
      </c>
      <c r="P19" s="12">
        <f t="shared" ref="P19:P50" si="8">J19-O19</f>
        <v>15</v>
      </c>
      <c r="Q19" s="19">
        <f t="shared" ref="Q19:Q50" si="9">J19*(1+$C$15)</f>
        <v>3090</v>
      </c>
    </row>
    <row r="20" spans="2:17" ht="17.100000000000001" customHeight="1" x14ac:dyDescent="0.3">
      <c r="B20" s="7" t="s">
        <v>29</v>
      </c>
      <c r="C20" s="7" t="s">
        <v>31</v>
      </c>
      <c r="D20" s="12">
        <f>$C$11+2.5</f>
        <v>3002.5</v>
      </c>
      <c r="E20" s="9">
        <v>11</v>
      </c>
      <c r="F20" s="10">
        <f t="shared" si="0"/>
        <v>4.2631140716069944E-2</v>
      </c>
      <c r="G20" s="11">
        <f t="shared" si="1"/>
        <v>6.4</v>
      </c>
      <c r="H20" s="10">
        <f t="shared" ref="H20:H51" si="10">H19+F20</f>
        <v>8.129780738273662E-2</v>
      </c>
      <c r="I20" s="12">
        <f t="shared" ref="I20:I51" si="11">I19+G20</f>
        <v>12.2</v>
      </c>
      <c r="J20" s="17">
        <f t="shared" si="2"/>
        <v>3001.3109560420048</v>
      </c>
      <c r="K20" s="12">
        <f t="shared" si="3"/>
        <v>9987.7033333333329</v>
      </c>
      <c r="L20" s="12">
        <f t="shared" si="4"/>
        <v>125378.96351722657</v>
      </c>
      <c r="M20" s="14">
        <f t="shared" si="5"/>
        <v>40.758189347952232</v>
      </c>
      <c r="N20" s="14">
        <f t="shared" si="6"/>
        <v>0.1</v>
      </c>
      <c r="O20" s="18">
        <f t="shared" si="7"/>
        <v>2986.3044012617947</v>
      </c>
      <c r="P20" s="12">
        <f t="shared" si="8"/>
        <v>15.006554780210081</v>
      </c>
      <c r="Q20" s="19">
        <f t="shared" si="9"/>
        <v>3091.3502847232648</v>
      </c>
    </row>
    <row r="21" spans="2:17" ht="17.100000000000001" customHeight="1" x14ac:dyDescent="0.3">
      <c r="B21" s="7" t="s">
        <v>29</v>
      </c>
      <c r="C21" s="7" t="s">
        <v>32</v>
      </c>
      <c r="D21" s="12">
        <f>$C$11+5</f>
        <v>3005</v>
      </c>
      <c r="E21" s="9">
        <v>12</v>
      </c>
      <c r="F21" s="10">
        <f t="shared" si="0"/>
        <v>4.6589018302828619E-2</v>
      </c>
      <c r="G21" s="11">
        <f t="shared" si="1"/>
        <v>7</v>
      </c>
      <c r="H21" s="10">
        <f t="shared" si="10"/>
        <v>0.12788682568556525</v>
      </c>
      <c r="I21" s="12">
        <f t="shared" si="11"/>
        <v>19.2</v>
      </c>
      <c r="J21" s="17">
        <f t="shared" si="2"/>
        <v>3002.6548703627927</v>
      </c>
      <c r="K21" s="12">
        <f t="shared" si="3"/>
        <v>9980.5000888148752</v>
      </c>
      <c r="L21" s="12">
        <f t="shared" si="4"/>
        <v>80792.827979496375</v>
      </c>
      <c r="M21" s="14">
        <f t="shared" si="5"/>
        <v>25.88613243910029</v>
      </c>
      <c r="N21" s="14">
        <f t="shared" si="6"/>
        <v>0.1</v>
      </c>
      <c r="O21" s="18">
        <f t="shared" si="7"/>
        <v>2987.6415960109789</v>
      </c>
      <c r="P21" s="12">
        <f t="shared" si="8"/>
        <v>15.013274351813834</v>
      </c>
      <c r="Q21" s="19">
        <f t="shared" si="9"/>
        <v>3092.7345164736766</v>
      </c>
    </row>
    <row r="22" spans="2:17" ht="17.100000000000001" customHeight="1" x14ac:dyDescent="0.3">
      <c r="B22" s="7" t="s">
        <v>29</v>
      </c>
      <c r="C22" s="7" t="s">
        <v>33</v>
      </c>
      <c r="D22" s="12">
        <f>$C$11+7.5</f>
        <v>3007.5</v>
      </c>
      <c r="E22" s="9">
        <v>13</v>
      </c>
      <c r="F22" s="10">
        <f t="shared" si="0"/>
        <v>5.0540315876974232E-2</v>
      </c>
      <c r="G22" s="11">
        <f t="shared" si="1"/>
        <v>7.6</v>
      </c>
      <c r="H22" s="10">
        <f t="shared" si="10"/>
        <v>0.17842714156253947</v>
      </c>
      <c r="I22" s="12">
        <f t="shared" si="11"/>
        <v>26.799999999999997</v>
      </c>
      <c r="J22" s="17">
        <f t="shared" si="2"/>
        <v>3004.0272758173942</v>
      </c>
      <c r="K22" s="12">
        <f t="shared" si="3"/>
        <v>9972.5803717506624</v>
      </c>
      <c r="L22" s="12">
        <f t="shared" si="4"/>
        <v>58755.534599413506</v>
      </c>
      <c r="M22" s="14">
        <f t="shared" si="5"/>
        <v>18.536337356413469</v>
      </c>
      <c r="N22" s="14">
        <f t="shared" si="6"/>
        <v>0.1</v>
      </c>
      <c r="O22" s="18">
        <f t="shared" si="7"/>
        <v>2989.0071394383071</v>
      </c>
      <c r="P22" s="12">
        <f t="shared" si="8"/>
        <v>15.020136379087035</v>
      </c>
      <c r="Q22" s="19">
        <f t="shared" si="9"/>
        <v>3094.1480940919159</v>
      </c>
    </row>
    <row r="23" spans="2:17" ht="17.100000000000001" customHeight="1" x14ac:dyDescent="0.3">
      <c r="B23" s="7" t="s">
        <v>29</v>
      </c>
      <c r="C23" s="7" t="s">
        <v>34</v>
      </c>
      <c r="D23" s="12">
        <f>$C$11+10</f>
        <v>3010</v>
      </c>
      <c r="E23" s="9">
        <v>14</v>
      </c>
      <c r="F23" s="10">
        <f t="shared" si="0"/>
        <v>5.4485049833887043E-2</v>
      </c>
      <c r="G23" s="11">
        <f t="shared" si="1"/>
        <v>8.1999999999999993</v>
      </c>
      <c r="H23" s="10">
        <f t="shared" si="10"/>
        <v>0.23291219139642652</v>
      </c>
      <c r="I23" s="12">
        <f t="shared" si="11"/>
        <v>35</v>
      </c>
      <c r="J23" s="17">
        <f t="shared" si="2"/>
        <v>3005.4244726441566</v>
      </c>
      <c r="K23" s="12">
        <f t="shared" si="3"/>
        <v>9963.9343038967563</v>
      </c>
      <c r="L23" s="12">
        <f t="shared" si="4"/>
        <v>45711.502284708564</v>
      </c>
      <c r="M23" s="14">
        <f t="shared" si="5"/>
        <v>14.186545609537729</v>
      </c>
      <c r="N23" s="14">
        <f t="shared" si="6"/>
        <v>0.1</v>
      </c>
      <c r="O23" s="18">
        <f t="shared" si="7"/>
        <v>2990.3973502809358</v>
      </c>
      <c r="P23" s="12">
        <f t="shared" si="8"/>
        <v>15.027122363220769</v>
      </c>
      <c r="Q23" s="19">
        <f t="shared" si="9"/>
        <v>3095.5872068234812</v>
      </c>
    </row>
    <row r="24" spans="2:17" ht="17.100000000000001" customHeight="1" x14ac:dyDescent="0.3">
      <c r="B24" s="7" t="s">
        <v>29</v>
      </c>
      <c r="C24" s="7" t="s">
        <v>35</v>
      </c>
      <c r="D24" s="12">
        <f>$C$11+12.5</f>
        <v>3012.5</v>
      </c>
      <c r="E24" s="9">
        <v>15</v>
      </c>
      <c r="F24" s="10">
        <f t="shared" si="0"/>
        <v>5.8423236514522824E-2</v>
      </c>
      <c r="G24" s="11">
        <f t="shared" si="1"/>
        <v>8.8000000000000007</v>
      </c>
      <c r="H24" s="10">
        <f t="shared" si="10"/>
        <v>0.29133542791094935</v>
      </c>
      <c r="I24" s="12">
        <f t="shared" si="11"/>
        <v>43.8</v>
      </c>
      <c r="J24" s="17">
        <f t="shared" si="2"/>
        <v>3006.8433704800273</v>
      </c>
      <c r="K24" s="12">
        <f t="shared" si="3"/>
        <v>9954.5520234182659</v>
      </c>
      <c r="L24" s="12">
        <f t="shared" si="4"/>
        <v>37145.810328881598</v>
      </c>
      <c r="M24" s="14">
        <f t="shared" si="5"/>
        <v>11.3305594452719</v>
      </c>
      <c r="N24" s="14">
        <f t="shared" si="6"/>
        <v>0.1</v>
      </c>
      <c r="O24" s="18">
        <f t="shared" si="7"/>
        <v>2991.809153627627</v>
      </c>
      <c r="P24" s="12">
        <f t="shared" si="8"/>
        <v>15.034216852400277</v>
      </c>
      <c r="Q24" s="19">
        <f t="shared" si="9"/>
        <v>3097.048671594428</v>
      </c>
    </row>
    <row r="25" spans="2:17" ht="17.100000000000001" customHeight="1" x14ac:dyDescent="0.3">
      <c r="B25" s="7" t="s">
        <v>29</v>
      </c>
      <c r="C25" s="7" t="s">
        <v>36</v>
      </c>
      <c r="D25" s="12">
        <f>$C$11+15</f>
        <v>3015</v>
      </c>
      <c r="E25" s="9">
        <v>16</v>
      </c>
      <c r="F25" s="10">
        <f t="shared" si="0"/>
        <v>6.1691542288557215E-2</v>
      </c>
      <c r="G25" s="11">
        <f t="shared" si="1"/>
        <v>9.3000000000000007</v>
      </c>
      <c r="H25" s="10">
        <f t="shared" si="10"/>
        <v>0.35302697019950657</v>
      </c>
      <c r="I25" s="12">
        <f t="shared" si="11"/>
        <v>53.099999999999994</v>
      </c>
      <c r="J25" s="17">
        <f t="shared" si="2"/>
        <v>3008.2687433196129</v>
      </c>
      <c r="K25" s="12">
        <f t="shared" si="3"/>
        <v>9944.5236848484874</v>
      </c>
      <c r="L25" s="12">
        <f t="shared" si="4"/>
        <v>31178.822308983858</v>
      </c>
      <c r="M25" s="14">
        <f t="shared" si="5"/>
        <v>9.3412345966778965</v>
      </c>
      <c r="N25" s="14">
        <f t="shared" si="6"/>
        <v>0.1</v>
      </c>
      <c r="O25" s="18">
        <f t="shared" si="7"/>
        <v>2993.2273996030149</v>
      </c>
      <c r="P25" s="12">
        <f t="shared" si="8"/>
        <v>15.041343716598021</v>
      </c>
      <c r="Q25" s="19">
        <f t="shared" si="9"/>
        <v>3098.5168056192015</v>
      </c>
    </row>
    <row r="26" spans="2:17" ht="17.100000000000001" customHeight="1" x14ac:dyDescent="0.3">
      <c r="B26" s="7" t="s">
        <v>29</v>
      </c>
      <c r="C26" s="7" t="s">
        <v>37</v>
      </c>
      <c r="D26" s="12">
        <f>$C$11+17.5</f>
        <v>3017.5</v>
      </c>
      <c r="E26" s="9">
        <v>17</v>
      </c>
      <c r="F26" s="10">
        <f t="shared" si="0"/>
        <v>6.5617232808616408E-2</v>
      </c>
      <c r="G26" s="11">
        <f t="shared" si="1"/>
        <v>9.9</v>
      </c>
      <c r="H26" s="10">
        <f t="shared" si="10"/>
        <v>0.41864420300812299</v>
      </c>
      <c r="I26" s="12">
        <f t="shared" si="11"/>
        <v>62.999999999999993</v>
      </c>
      <c r="J26" s="17">
        <f t="shared" si="2"/>
        <v>3009.7156271277736</v>
      </c>
      <c r="K26" s="12">
        <f t="shared" si="3"/>
        <v>9933.7411174229892</v>
      </c>
      <c r="L26" s="12">
        <f t="shared" si="4"/>
        <v>26762.534913889867</v>
      </c>
      <c r="M26" s="14">
        <f t="shared" si="5"/>
        <v>7.8691085050173548</v>
      </c>
      <c r="N26" s="14">
        <f t="shared" si="6"/>
        <v>0.1</v>
      </c>
      <c r="O26" s="18">
        <f t="shared" si="7"/>
        <v>2994.6670489921348</v>
      </c>
      <c r="P26" s="12">
        <f t="shared" si="8"/>
        <v>15.048578135638763</v>
      </c>
      <c r="Q26" s="19">
        <f t="shared" si="9"/>
        <v>3100.0070959416071</v>
      </c>
    </row>
    <row r="27" spans="2:17" ht="17.100000000000001" customHeight="1" x14ac:dyDescent="0.3">
      <c r="B27" s="7" t="s">
        <v>29</v>
      </c>
      <c r="C27" s="7" t="s">
        <v>38</v>
      </c>
      <c r="D27" s="12">
        <f>$C$11+20</f>
        <v>3020</v>
      </c>
      <c r="E27" s="9">
        <v>18</v>
      </c>
      <c r="F27" s="10">
        <f t="shared" si="0"/>
        <v>6.9536423841059597E-2</v>
      </c>
      <c r="G27" s="11">
        <f t="shared" si="1"/>
        <v>10.5</v>
      </c>
      <c r="H27" s="10">
        <f t="shared" si="10"/>
        <v>0.48818062684918262</v>
      </c>
      <c r="I27" s="12">
        <f t="shared" si="11"/>
        <v>73.5</v>
      </c>
      <c r="J27" s="17">
        <f t="shared" si="2"/>
        <v>3011.1805326804547</v>
      </c>
      <c r="K27" s="12">
        <f t="shared" si="3"/>
        <v>9922.1945069154681</v>
      </c>
      <c r="L27" s="12">
        <f t="shared" si="4"/>
        <v>23378.509296947112</v>
      </c>
      <c r="M27" s="14">
        <f t="shared" si="5"/>
        <v>6.7412282440222224</v>
      </c>
      <c r="N27" s="14">
        <f t="shared" si="6"/>
        <v>0.1</v>
      </c>
      <c r="O27" s="18">
        <f t="shared" si="7"/>
        <v>2996.1246300170524</v>
      </c>
      <c r="P27" s="12">
        <f t="shared" si="8"/>
        <v>15.055902663402321</v>
      </c>
      <c r="Q27" s="19">
        <f t="shared" si="9"/>
        <v>3101.5159486608686</v>
      </c>
    </row>
    <row r="28" spans="2:17" ht="17.100000000000001" customHeight="1" x14ac:dyDescent="0.3">
      <c r="B28" s="7" t="s">
        <v>29</v>
      </c>
      <c r="C28" s="7" t="s">
        <v>39</v>
      </c>
      <c r="D28" s="12">
        <f>$C$11+22.5</f>
        <v>3022.5</v>
      </c>
      <c r="E28" s="9">
        <v>19</v>
      </c>
      <c r="F28" s="10">
        <f t="shared" si="0"/>
        <v>7.3449131513647639E-2</v>
      </c>
      <c r="G28" s="11">
        <f t="shared" si="1"/>
        <v>11.1</v>
      </c>
      <c r="H28" s="10">
        <f t="shared" si="10"/>
        <v>0.56162975836283024</v>
      </c>
      <c r="I28" s="12">
        <f t="shared" si="11"/>
        <v>84.6</v>
      </c>
      <c r="J28" s="17">
        <f t="shared" si="2"/>
        <v>3012.6608763257796</v>
      </c>
      <c r="K28" s="12">
        <f t="shared" si="3"/>
        <v>9909.8740553483458</v>
      </c>
      <c r="L28" s="12">
        <f t="shared" si="4"/>
        <v>20714.413138798336</v>
      </c>
      <c r="M28" s="14">
        <f t="shared" si="5"/>
        <v>5.8534038507190527</v>
      </c>
      <c r="N28" s="14">
        <f t="shared" si="6"/>
        <v>0.1</v>
      </c>
      <c r="O28" s="18">
        <f t="shared" si="7"/>
        <v>2997.5975719441508</v>
      </c>
      <c r="P28" s="12">
        <f t="shared" si="8"/>
        <v>15.063304381628768</v>
      </c>
      <c r="Q28" s="19">
        <f t="shared" si="9"/>
        <v>3103.0407026155531</v>
      </c>
    </row>
    <row r="29" spans="2:17" ht="17.100000000000001" customHeight="1" x14ac:dyDescent="0.3">
      <c r="B29" s="7" t="s">
        <v>29</v>
      </c>
      <c r="C29" s="7" t="s">
        <v>40</v>
      </c>
      <c r="D29" s="12">
        <f>$C$11+25</f>
        <v>3025</v>
      </c>
      <c r="E29" s="9">
        <v>20</v>
      </c>
      <c r="F29" s="10">
        <f t="shared" si="0"/>
        <v>7.7355371900826447E-2</v>
      </c>
      <c r="G29" s="11">
        <f t="shared" si="1"/>
        <v>11.7</v>
      </c>
      <c r="H29" s="10">
        <f t="shared" si="10"/>
        <v>0.63898513026365666</v>
      </c>
      <c r="I29" s="12">
        <f t="shared" si="11"/>
        <v>96.3</v>
      </c>
      <c r="J29" s="17">
        <f t="shared" si="2"/>
        <v>3014.1546473942171</v>
      </c>
      <c r="K29" s="12">
        <f t="shared" si="3"/>
        <v>9896.7699809524402</v>
      </c>
      <c r="L29" s="12">
        <f t="shared" si="4"/>
        <v>18571.115515270707</v>
      </c>
      <c r="M29" s="14">
        <f t="shared" si="5"/>
        <v>5.1392117405853579</v>
      </c>
      <c r="N29" s="14">
        <f t="shared" si="6"/>
        <v>0.1</v>
      </c>
      <c r="O29" s="18">
        <f t="shared" si="7"/>
        <v>2999.0838741572461</v>
      </c>
      <c r="P29" s="12">
        <f t="shared" si="8"/>
        <v>15.070773236971036</v>
      </c>
      <c r="Q29" s="19">
        <f t="shared" si="9"/>
        <v>3104.5792868160438</v>
      </c>
    </row>
    <row r="30" spans="2:17" ht="17.100000000000001" customHeight="1" x14ac:dyDescent="0.3">
      <c r="B30" s="7" t="s">
        <v>29</v>
      </c>
      <c r="C30" s="7" t="s">
        <v>41</v>
      </c>
      <c r="D30" s="12">
        <f>$C$11+27.5</f>
        <v>3027.5</v>
      </c>
      <c r="E30" s="9">
        <v>21</v>
      </c>
      <c r="F30" s="10">
        <f t="shared" si="0"/>
        <v>8.1255161023947156E-2</v>
      </c>
      <c r="G30" s="11">
        <f t="shared" si="1"/>
        <v>12.3</v>
      </c>
      <c r="H30" s="10">
        <f t="shared" si="10"/>
        <v>0.72024029128760381</v>
      </c>
      <c r="I30" s="12">
        <f t="shared" si="11"/>
        <v>108.6</v>
      </c>
      <c r="J30" s="17">
        <f t="shared" si="2"/>
        <v>3015.6602265572014</v>
      </c>
      <c r="K30" s="12">
        <f t="shared" si="3"/>
        <v>9882.8725181267801</v>
      </c>
      <c r="L30" s="12">
        <f t="shared" si="4"/>
        <v>16815.836232124031</v>
      </c>
      <c r="M30" s="14">
        <f t="shared" si="5"/>
        <v>4.5543637430632637</v>
      </c>
      <c r="N30" s="14">
        <f t="shared" si="6"/>
        <v>0.1</v>
      </c>
      <c r="O30" s="18">
        <f t="shared" si="7"/>
        <v>3000.5819254244152</v>
      </c>
      <c r="P30" s="12">
        <f t="shared" si="8"/>
        <v>15.078301132786237</v>
      </c>
      <c r="Q30" s="19">
        <f t="shared" si="9"/>
        <v>3106.1300333539175</v>
      </c>
    </row>
    <row r="31" spans="2:17" ht="17.100000000000001" customHeight="1" x14ac:dyDescent="0.3">
      <c r="B31" s="7" t="s">
        <v>29</v>
      </c>
      <c r="C31" s="7" t="s">
        <v>42</v>
      </c>
      <c r="D31" s="12">
        <f>$C$11+30</f>
        <v>3030</v>
      </c>
      <c r="E31" s="9">
        <v>22</v>
      </c>
      <c r="F31" s="10">
        <f t="shared" si="0"/>
        <v>8.4488448844884489E-2</v>
      </c>
      <c r="G31" s="11">
        <f t="shared" si="1"/>
        <v>12.8</v>
      </c>
      <c r="H31" s="10">
        <f t="shared" si="10"/>
        <v>0.8047287401324883</v>
      </c>
      <c r="I31" s="12">
        <f t="shared" si="11"/>
        <v>121.39999999999999</v>
      </c>
      <c r="J31" s="17">
        <f t="shared" si="2"/>
        <v>3017.1657589863894</v>
      </c>
      <c r="K31" s="12">
        <f t="shared" si="3"/>
        <v>9868.2719173985606</v>
      </c>
      <c r="L31" s="12">
        <f t="shared" si="4"/>
        <v>15366.878971158561</v>
      </c>
      <c r="M31" s="14">
        <f t="shared" si="5"/>
        <v>4.0715772182041459</v>
      </c>
      <c r="N31" s="14">
        <f t="shared" si="6"/>
        <v>0.1</v>
      </c>
      <c r="O31" s="18">
        <f t="shared" si="7"/>
        <v>3002.0799301914576</v>
      </c>
      <c r="P31" s="12">
        <f t="shared" si="8"/>
        <v>15.085828794931786</v>
      </c>
      <c r="Q31" s="19">
        <f t="shared" si="9"/>
        <v>3107.680731755981</v>
      </c>
    </row>
    <row r="32" spans="2:17" ht="17.100000000000001" customHeight="1" x14ac:dyDescent="0.3">
      <c r="B32" s="7" t="s">
        <v>29</v>
      </c>
      <c r="C32" s="7" t="s">
        <v>43</v>
      </c>
      <c r="D32" s="12">
        <f>$C$11+32.5</f>
        <v>3032.5</v>
      </c>
      <c r="E32" s="9">
        <v>23</v>
      </c>
      <c r="F32" s="10">
        <f t="shared" si="0"/>
        <v>8.837592745259687E-2</v>
      </c>
      <c r="G32" s="11">
        <f t="shared" si="1"/>
        <v>13.4</v>
      </c>
      <c r="H32" s="10">
        <f t="shared" si="10"/>
        <v>0.89310466758508511</v>
      </c>
      <c r="I32" s="12">
        <f t="shared" si="11"/>
        <v>134.79999999999998</v>
      </c>
      <c r="J32" s="17">
        <f t="shared" si="2"/>
        <v>3018.6831374309827</v>
      </c>
      <c r="K32" s="12">
        <f t="shared" si="3"/>
        <v>9852.8600955482289</v>
      </c>
      <c r="L32" s="12">
        <f t="shared" si="4"/>
        <v>14144.854773913727</v>
      </c>
      <c r="M32" s="14">
        <f t="shared" si="5"/>
        <v>3.6644203706228282</v>
      </c>
      <c r="N32" s="14">
        <f t="shared" si="6"/>
        <v>0.1</v>
      </c>
      <c r="O32" s="18">
        <f t="shared" si="7"/>
        <v>3003.5897217438278</v>
      </c>
      <c r="P32" s="12">
        <f t="shared" si="8"/>
        <v>15.093415687154902</v>
      </c>
      <c r="Q32" s="19">
        <f t="shared" si="9"/>
        <v>3109.2436315539121</v>
      </c>
    </row>
    <row r="33" spans="2:17" ht="17.100000000000001" customHeight="1" x14ac:dyDescent="0.3">
      <c r="B33" s="7" t="s">
        <v>29</v>
      </c>
      <c r="C33" s="7" t="s">
        <v>44</v>
      </c>
      <c r="D33" s="12">
        <f>$C$11+35</f>
        <v>3035</v>
      </c>
      <c r="E33" s="9">
        <v>24</v>
      </c>
      <c r="F33" s="10">
        <f t="shared" si="0"/>
        <v>9.2257001647446463E-2</v>
      </c>
      <c r="G33" s="11">
        <f t="shared" si="1"/>
        <v>14</v>
      </c>
      <c r="H33" s="10">
        <f t="shared" si="10"/>
        <v>0.98536166923253155</v>
      </c>
      <c r="I33" s="12">
        <f t="shared" si="11"/>
        <v>148.79999999999998</v>
      </c>
      <c r="J33" s="17">
        <f t="shared" si="2"/>
        <v>3020.2108453416054</v>
      </c>
      <c r="K33" s="12">
        <f t="shared" si="3"/>
        <v>9836.6273338792671</v>
      </c>
      <c r="L33" s="12">
        <f t="shared" si="4"/>
        <v>13103.252530744358</v>
      </c>
      <c r="M33" s="14">
        <f t="shared" si="5"/>
        <v>3.3173813939849612</v>
      </c>
      <c r="N33" s="14">
        <f t="shared" si="6"/>
        <v>0.1</v>
      </c>
      <c r="O33" s="18">
        <f t="shared" si="7"/>
        <v>3005.1097911148972</v>
      </c>
      <c r="P33" s="12">
        <f t="shared" si="8"/>
        <v>15.101054226708129</v>
      </c>
      <c r="Q33" s="19">
        <f t="shared" si="9"/>
        <v>3110.8171707018537</v>
      </c>
    </row>
    <row r="34" spans="2:17" ht="17.100000000000001" customHeight="1" x14ac:dyDescent="0.3">
      <c r="B34" s="7" t="s">
        <v>29</v>
      </c>
      <c r="C34" s="7" t="s">
        <v>45</v>
      </c>
      <c r="D34" s="12">
        <f>$C$11+37.5</f>
        <v>3037.5</v>
      </c>
      <c r="E34" s="9">
        <v>25</v>
      </c>
      <c r="F34" s="10">
        <f t="shared" si="0"/>
        <v>9.6131687242798358E-2</v>
      </c>
      <c r="G34" s="11">
        <f t="shared" si="1"/>
        <v>14.6</v>
      </c>
      <c r="H34" s="10">
        <f t="shared" si="10"/>
        <v>1.08149335647533</v>
      </c>
      <c r="I34" s="12">
        <f t="shared" si="11"/>
        <v>163.39999999999998</v>
      </c>
      <c r="J34" s="17">
        <f t="shared" si="2"/>
        <v>3021.7476422145237</v>
      </c>
      <c r="K34" s="12">
        <f t="shared" si="3"/>
        <v>9819.5639297061862</v>
      </c>
      <c r="L34" s="12">
        <f t="shared" si="4"/>
        <v>12207.185527960659</v>
      </c>
      <c r="M34" s="14">
        <f t="shared" si="5"/>
        <v>3.0188265112627684</v>
      </c>
      <c r="N34" s="14">
        <f t="shared" si="6"/>
        <v>0.1</v>
      </c>
      <c r="O34" s="18">
        <f t="shared" si="7"/>
        <v>3006.638904003451</v>
      </c>
      <c r="P34" s="12">
        <f t="shared" si="8"/>
        <v>15.108738211072705</v>
      </c>
      <c r="Q34" s="19">
        <f t="shared" si="9"/>
        <v>3112.4000714809595</v>
      </c>
    </row>
    <row r="35" spans="2:17" ht="17.100000000000001" customHeight="1" x14ac:dyDescent="0.3">
      <c r="B35" s="7" t="s">
        <v>29</v>
      </c>
      <c r="C35" s="7" t="s">
        <v>46</v>
      </c>
      <c r="D35" s="12">
        <f>$C$11+40</f>
        <v>3040</v>
      </c>
      <c r="E35" s="9">
        <v>26</v>
      </c>
      <c r="F35" s="10">
        <f t="shared" si="0"/>
        <v>0.1</v>
      </c>
      <c r="G35" s="11">
        <f t="shared" si="1"/>
        <v>15.2</v>
      </c>
      <c r="H35" s="10">
        <f t="shared" si="10"/>
        <v>1.18149335647533</v>
      </c>
      <c r="I35" s="12">
        <f t="shared" si="11"/>
        <v>178.59999999999997</v>
      </c>
      <c r="J35" s="17">
        <f t="shared" si="2"/>
        <v>3023.2924970954618</v>
      </c>
      <c r="K35" s="12">
        <f t="shared" si="3"/>
        <v>9801.6601963149951</v>
      </c>
      <c r="L35" s="12">
        <f t="shared" si="4"/>
        <v>11430.007234426865</v>
      </c>
      <c r="M35" s="14">
        <f t="shared" si="5"/>
        <v>2.7598708007983106</v>
      </c>
      <c r="N35" s="14">
        <f t="shared" si="6"/>
        <v>0.1</v>
      </c>
      <c r="O35" s="18">
        <f t="shared" si="7"/>
        <v>3008.1760346099845</v>
      </c>
      <c r="P35" s="12">
        <f t="shared" si="8"/>
        <v>15.116462485477314</v>
      </c>
      <c r="Q35" s="19">
        <f t="shared" si="9"/>
        <v>3113.9912720083257</v>
      </c>
    </row>
    <row r="36" spans="2:17" ht="17.100000000000001" customHeight="1" x14ac:dyDescent="0.3">
      <c r="B36" s="7" t="s">
        <v>29</v>
      </c>
      <c r="C36" s="7" t="s">
        <v>47</v>
      </c>
      <c r="D36" s="12">
        <f>$C$11+42.5</f>
        <v>3042.5</v>
      </c>
      <c r="E36" s="9">
        <v>27</v>
      </c>
      <c r="F36" s="10">
        <f t="shared" si="0"/>
        <v>0.1038619556285949</v>
      </c>
      <c r="G36" s="11">
        <f t="shared" si="1"/>
        <v>15.8</v>
      </c>
      <c r="H36" s="10">
        <f t="shared" si="10"/>
        <v>1.285355312103925</v>
      </c>
      <c r="I36" s="12">
        <f t="shared" si="11"/>
        <v>194.39999999999998</v>
      </c>
      <c r="J36" s="17">
        <f t="shared" si="2"/>
        <v>3024.8445417290523</v>
      </c>
      <c r="K36" s="12">
        <f t="shared" si="3"/>
        <v>9782.9064629238092</v>
      </c>
      <c r="L36" s="12">
        <f t="shared" si="4"/>
        <v>10751.039298244652</v>
      </c>
      <c r="M36" s="14">
        <f t="shared" si="5"/>
        <v>2.5336201473277411</v>
      </c>
      <c r="N36" s="14">
        <f t="shared" si="6"/>
        <v>0.1</v>
      </c>
      <c r="O36" s="18">
        <f t="shared" si="7"/>
        <v>3009.7203190204068</v>
      </c>
      <c r="P36" s="12">
        <f t="shared" si="8"/>
        <v>15.124222708645448</v>
      </c>
      <c r="Q36" s="19">
        <f t="shared" si="9"/>
        <v>3115.589877980924</v>
      </c>
    </row>
    <row r="37" spans="2:17" ht="17.100000000000001" customHeight="1" x14ac:dyDescent="0.3">
      <c r="B37" s="7" t="s">
        <v>29</v>
      </c>
      <c r="C37" s="7" t="s">
        <v>48</v>
      </c>
      <c r="D37" s="12">
        <f>$C$11+45</f>
        <v>3045</v>
      </c>
      <c r="E37" s="9">
        <v>28</v>
      </c>
      <c r="F37" s="10">
        <f t="shared" si="0"/>
        <v>0.10706075533661741</v>
      </c>
      <c r="G37" s="11">
        <f t="shared" si="1"/>
        <v>16.3</v>
      </c>
      <c r="H37" s="10">
        <f t="shared" si="10"/>
        <v>1.3924160674405424</v>
      </c>
      <c r="I37" s="12">
        <f t="shared" si="11"/>
        <v>210.7</v>
      </c>
      <c r="J37" s="17">
        <f t="shared" si="2"/>
        <v>3026.3942642847605</v>
      </c>
      <c r="K37" s="12">
        <f t="shared" si="3"/>
        <v>9763.3930746435472</v>
      </c>
      <c r="L37" s="12">
        <f t="shared" si="4"/>
        <v>10157.36884456304</v>
      </c>
      <c r="M37" s="14">
        <f t="shared" si="5"/>
        <v>2.3357533151274352</v>
      </c>
      <c r="N37" s="14">
        <f t="shared" si="6"/>
        <v>0.1</v>
      </c>
      <c r="O37" s="18">
        <f t="shared" si="7"/>
        <v>3011.2622929633367</v>
      </c>
      <c r="P37" s="12">
        <f t="shared" si="8"/>
        <v>15.131971321423862</v>
      </c>
      <c r="Q37" s="19">
        <f t="shared" si="9"/>
        <v>3117.1860922133033</v>
      </c>
    </row>
    <row r="38" spans="2:17" ht="17.100000000000001" customHeight="1" x14ac:dyDescent="0.3">
      <c r="B38" s="7" t="s">
        <v>29</v>
      </c>
      <c r="C38" s="7" t="s">
        <v>49</v>
      </c>
      <c r="D38" s="12">
        <f>$C$11+47.5</f>
        <v>3047.5</v>
      </c>
      <c r="E38" s="9">
        <v>29</v>
      </c>
      <c r="F38" s="10">
        <f t="shared" si="0"/>
        <v>0.11091058244462675</v>
      </c>
      <c r="G38" s="11">
        <f t="shared" si="1"/>
        <v>16.899999999999999</v>
      </c>
      <c r="H38" s="10">
        <f t="shared" si="10"/>
        <v>1.5033266498851692</v>
      </c>
      <c r="I38" s="12">
        <f t="shared" si="11"/>
        <v>227.6</v>
      </c>
      <c r="J38" s="17">
        <f t="shared" si="2"/>
        <v>3027.951377265681</v>
      </c>
      <c r="K38" s="12">
        <f t="shared" si="3"/>
        <v>9743.0120344749466</v>
      </c>
      <c r="L38" s="12">
        <f t="shared" si="4"/>
        <v>9631.7071151208347</v>
      </c>
      <c r="M38" s="14">
        <f t="shared" si="5"/>
        <v>2.1605273552488384</v>
      </c>
      <c r="N38" s="14">
        <f t="shared" si="6"/>
        <v>0.1</v>
      </c>
      <c r="O38" s="18">
        <f t="shared" si="7"/>
        <v>3012.8116203793525</v>
      </c>
      <c r="P38" s="12">
        <f t="shared" si="8"/>
        <v>15.139756886328541</v>
      </c>
      <c r="Q38" s="19">
        <f t="shared" si="9"/>
        <v>3118.7899185836513</v>
      </c>
    </row>
    <row r="39" spans="2:17" ht="17.100000000000001" customHeight="1" x14ac:dyDescent="0.3">
      <c r="B39" s="7" t="s">
        <v>50</v>
      </c>
      <c r="C39" s="7" t="s">
        <v>30</v>
      </c>
      <c r="D39" s="12">
        <f>$C$11+50</f>
        <v>3050</v>
      </c>
      <c r="E39" s="9">
        <v>30</v>
      </c>
      <c r="F39" s="10">
        <f t="shared" si="0"/>
        <v>0.11475409836065574</v>
      </c>
      <c r="G39" s="11">
        <f t="shared" si="1"/>
        <v>17.5</v>
      </c>
      <c r="H39" s="10">
        <f t="shared" si="10"/>
        <v>1.6180807482458248</v>
      </c>
      <c r="I39" s="12">
        <f t="shared" si="11"/>
        <v>245.1</v>
      </c>
      <c r="J39" s="17">
        <f t="shared" si="2"/>
        <v>3029.5150630240796</v>
      </c>
      <c r="K39" s="12">
        <f t="shared" si="3"/>
        <v>9721.7537178502334</v>
      </c>
      <c r="L39" s="12">
        <f t="shared" si="4"/>
        <v>9163.857064978014</v>
      </c>
      <c r="M39" s="14">
        <f t="shared" si="5"/>
        <v>2.0045432999927915</v>
      </c>
      <c r="N39" s="14">
        <f t="shared" si="6"/>
        <v>0.1</v>
      </c>
      <c r="O39" s="18">
        <f t="shared" si="7"/>
        <v>3014.3674877089593</v>
      </c>
      <c r="P39" s="12">
        <f t="shared" si="8"/>
        <v>15.147575315120321</v>
      </c>
      <c r="Q39" s="19">
        <f t="shared" si="9"/>
        <v>3120.400514914802</v>
      </c>
    </row>
    <row r="40" spans="2:17" ht="17.100000000000001" customHeight="1" x14ac:dyDescent="0.3">
      <c r="B40" s="7" t="s">
        <v>50</v>
      </c>
      <c r="C40" s="7" t="s">
        <v>31</v>
      </c>
      <c r="D40" s="12">
        <f>$C$11+52.5</f>
        <v>3052.5</v>
      </c>
      <c r="E40" s="9">
        <v>32</v>
      </c>
      <c r="F40" s="10">
        <f t="shared" si="0"/>
        <v>0.12252252252252252</v>
      </c>
      <c r="G40" s="11">
        <f t="shared" si="1"/>
        <v>18.7</v>
      </c>
      <c r="H40" s="10">
        <f t="shared" si="10"/>
        <v>1.7406032707683474</v>
      </c>
      <c r="I40" s="12">
        <f t="shared" si="11"/>
        <v>263.8</v>
      </c>
      <c r="J40" s="17">
        <f t="shared" si="2"/>
        <v>3031.1329919948025</v>
      </c>
      <c r="K40" s="12">
        <f t="shared" si="3"/>
        <v>9699.0085159796199</v>
      </c>
      <c r="L40" s="12">
        <f t="shared" si="4"/>
        <v>8732.6045258379454</v>
      </c>
      <c r="M40" s="14">
        <f t="shared" si="5"/>
        <v>1.8608041034686145</v>
      </c>
      <c r="N40" s="14">
        <f t="shared" si="6"/>
        <v>0.1</v>
      </c>
      <c r="O40" s="18">
        <f t="shared" si="7"/>
        <v>3015.9773270348287</v>
      </c>
      <c r="P40" s="12">
        <f t="shared" si="8"/>
        <v>15.155664959973819</v>
      </c>
      <c r="Q40" s="19">
        <f t="shared" si="9"/>
        <v>3122.0669817546468</v>
      </c>
    </row>
    <row r="41" spans="2:17" ht="17.100000000000001" customHeight="1" x14ac:dyDescent="0.3">
      <c r="B41" s="7" t="s">
        <v>50</v>
      </c>
      <c r="C41" s="7" t="s">
        <v>32</v>
      </c>
      <c r="D41" s="12">
        <f>$C$11+55</f>
        <v>3055</v>
      </c>
      <c r="E41" s="9">
        <v>34</v>
      </c>
      <c r="F41" s="10">
        <f t="shared" si="0"/>
        <v>0.12962356792144025</v>
      </c>
      <c r="G41" s="11">
        <f t="shared" si="1"/>
        <v>19.8</v>
      </c>
      <c r="H41" s="10">
        <f t="shared" si="10"/>
        <v>1.8702268386897876</v>
      </c>
      <c r="I41" s="12">
        <f t="shared" si="11"/>
        <v>283.60000000000002</v>
      </c>
      <c r="J41" s="17">
        <f t="shared" si="2"/>
        <v>3032.7871906562928</v>
      </c>
      <c r="K41" s="12">
        <f t="shared" si="3"/>
        <v>9674.8570078026987</v>
      </c>
      <c r="L41" s="12">
        <f t="shared" si="4"/>
        <v>8338.0419573439958</v>
      </c>
      <c r="M41" s="14">
        <f t="shared" si="5"/>
        <v>1.7293099696707024</v>
      </c>
      <c r="N41" s="14">
        <f t="shared" si="6"/>
        <v>0.1</v>
      </c>
      <c r="O41" s="18">
        <f t="shared" si="7"/>
        <v>3017.6232547030113</v>
      </c>
      <c r="P41" s="12">
        <f t="shared" si="8"/>
        <v>15.163935953281452</v>
      </c>
      <c r="Q41" s="19">
        <f t="shared" si="9"/>
        <v>3123.7708063759815</v>
      </c>
    </row>
    <row r="42" spans="2:17" ht="17.100000000000001" customHeight="1" x14ac:dyDescent="0.3">
      <c r="B42" s="7" t="s">
        <v>50</v>
      </c>
      <c r="C42" s="7" t="s">
        <v>33</v>
      </c>
      <c r="D42" s="12">
        <f>$C$11+57.5</f>
        <v>3057.5</v>
      </c>
      <c r="E42" s="9">
        <v>36</v>
      </c>
      <c r="F42" s="10">
        <f t="shared" si="0"/>
        <v>0.1373671300081766</v>
      </c>
      <c r="G42" s="11">
        <f t="shared" si="1"/>
        <v>21</v>
      </c>
      <c r="H42" s="10">
        <f t="shared" si="10"/>
        <v>2.007593968697964</v>
      </c>
      <c r="I42" s="12">
        <f t="shared" si="11"/>
        <v>304.60000000000002</v>
      </c>
      <c r="J42" s="17">
        <f t="shared" si="2"/>
        <v>3034.478134017806</v>
      </c>
      <c r="K42" s="12">
        <f t="shared" si="3"/>
        <v>9649.1814407059737</v>
      </c>
      <c r="L42" s="12">
        <f t="shared" si="4"/>
        <v>7975.686592091176</v>
      </c>
      <c r="M42" s="14">
        <f t="shared" si="5"/>
        <v>1.6085647071434754</v>
      </c>
      <c r="N42" s="14">
        <f t="shared" si="6"/>
        <v>0.1</v>
      </c>
      <c r="O42" s="18">
        <f t="shared" si="7"/>
        <v>3019.305743347717</v>
      </c>
      <c r="P42" s="12">
        <f t="shared" si="8"/>
        <v>15.172390670089044</v>
      </c>
      <c r="Q42" s="19">
        <f t="shared" si="9"/>
        <v>3125.5124780383403</v>
      </c>
    </row>
    <row r="43" spans="2:17" ht="17.100000000000001" customHeight="1" x14ac:dyDescent="0.3">
      <c r="B43" s="7" t="s">
        <v>50</v>
      </c>
      <c r="C43" s="7" t="s">
        <v>34</v>
      </c>
      <c r="D43" s="12">
        <f>$C$11+60</f>
        <v>3060</v>
      </c>
      <c r="E43" s="9">
        <v>38</v>
      </c>
      <c r="F43" s="10">
        <f t="shared" si="0"/>
        <v>0.14509803921568629</v>
      </c>
      <c r="G43" s="11">
        <f t="shared" si="1"/>
        <v>22.2</v>
      </c>
      <c r="H43" s="10">
        <f t="shared" si="10"/>
        <v>2.1526920079136502</v>
      </c>
      <c r="I43" s="12">
        <f t="shared" si="11"/>
        <v>326.8</v>
      </c>
      <c r="J43" s="17">
        <f t="shared" si="2"/>
        <v>3036.1983860081182</v>
      </c>
      <c r="K43" s="12">
        <f t="shared" si="3"/>
        <v>9621.9624557842308</v>
      </c>
      <c r="L43" s="12">
        <f t="shared" si="4"/>
        <v>7643.328113263281</v>
      </c>
      <c r="M43" s="14">
        <f t="shared" si="5"/>
        <v>1.4978196448572814</v>
      </c>
      <c r="N43" s="14">
        <f t="shared" si="6"/>
        <v>0.1</v>
      </c>
      <c r="O43" s="18">
        <f t="shared" si="7"/>
        <v>3021.0173940780774</v>
      </c>
      <c r="P43" s="12">
        <f t="shared" si="8"/>
        <v>15.180991930040818</v>
      </c>
      <c r="Q43" s="19">
        <f t="shared" si="9"/>
        <v>3127.2843375883617</v>
      </c>
    </row>
    <row r="44" spans="2:17" ht="17.100000000000001" customHeight="1" x14ac:dyDescent="0.3">
      <c r="B44" s="7" t="s">
        <v>50</v>
      </c>
      <c r="C44" s="7" t="s">
        <v>35</v>
      </c>
      <c r="D44" s="12">
        <f>$C$11+62.5</f>
        <v>3062.5</v>
      </c>
      <c r="E44" s="9">
        <v>40</v>
      </c>
      <c r="F44" s="10">
        <f t="shared" si="0"/>
        <v>0.15281632653061225</v>
      </c>
      <c r="G44" s="11">
        <f t="shared" si="1"/>
        <v>23.4</v>
      </c>
      <c r="H44" s="10">
        <f t="shared" si="10"/>
        <v>2.3055083344442626</v>
      </c>
      <c r="I44" s="12">
        <f t="shared" si="11"/>
        <v>350.2</v>
      </c>
      <c r="J44" s="17">
        <f t="shared" si="2"/>
        <v>3037.9417395115588</v>
      </c>
      <c r="K44" s="12">
        <f t="shared" si="3"/>
        <v>9593.180725764445</v>
      </c>
      <c r="L44" s="12">
        <f t="shared" si="4"/>
        <v>7338.6865414012964</v>
      </c>
      <c r="M44" s="14">
        <f t="shared" si="5"/>
        <v>1.3963058094371581</v>
      </c>
      <c r="N44" s="14">
        <f t="shared" si="6"/>
        <v>0.1</v>
      </c>
      <c r="O44" s="18">
        <f t="shared" si="7"/>
        <v>3022.752030814001</v>
      </c>
      <c r="P44" s="12">
        <f t="shared" si="8"/>
        <v>15.189708697557762</v>
      </c>
      <c r="Q44" s="19">
        <f t="shared" si="9"/>
        <v>3129.0799916969058</v>
      </c>
    </row>
    <row r="45" spans="2:17" ht="17.100000000000001" customHeight="1" x14ac:dyDescent="0.3">
      <c r="B45" s="7" t="s">
        <v>50</v>
      </c>
      <c r="C45" s="7" t="s">
        <v>36</v>
      </c>
      <c r="D45" s="12">
        <f>$C$11+65</f>
        <v>3065</v>
      </c>
      <c r="E45" s="9">
        <v>42</v>
      </c>
      <c r="F45" s="10">
        <f t="shared" si="0"/>
        <v>0.1598694942903752</v>
      </c>
      <c r="G45" s="11">
        <f t="shared" si="1"/>
        <v>24.5</v>
      </c>
      <c r="H45" s="10">
        <f t="shared" si="10"/>
        <v>2.465377828734638</v>
      </c>
      <c r="I45" s="12">
        <f t="shared" si="11"/>
        <v>374.7</v>
      </c>
      <c r="J45" s="17">
        <f t="shared" si="2"/>
        <v>3039.6963551206741</v>
      </c>
      <c r="K45" s="12">
        <f t="shared" si="3"/>
        <v>9562.9169549283342</v>
      </c>
      <c r="L45" s="12">
        <f t="shared" si="4"/>
        <v>7060.5669326812795</v>
      </c>
      <c r="M45" s="14">
        <f t="shared" si="5"/>
        <v>1.3036107447573506</v>
      </c>
      <c r="N45" s="14">
        <f t="shared" si="6"/>
        <v>0.1</v>
      </c>
      <c r="O45" s="18">
        <f t="shared" si="7"/>
        <v>3024.4978733450707</v>
      </c>
      <c r="P45" s="12">
        <f t="shared" si="8"/>
        <v>15.198481775603341</v>
      </c>
      <c r="Q45" s="19">
        <f t="shared" si="9"/>
        <v>3130.8872457742946</v>
      </c>
    </row>
    <row r="46" spans="2:17" ht="17.100000000000001" customHeight="1" x14ac:dyDescent="0.3">
      <c r="B46" s="7" t="s">
        <v>50</v>
      </c>
      <c r="C46" s="7" t="s">
        <v>37</v>
      </c>
      <c r="D46" s="12">
        <f>$C$11+67.5</f>
        <v>3067.5</v>
      </c>
      <c r="E46" s="9">
        <v>44</v>
      </c>
      <c r="F46" s="10">
        <f t="shared" si="0"/>
        <v>0.16756316218418907</v>
      </c>
      <c r="G46" s="11">
        <f t="shared" si="1"/>
        <v>25.7</v>
      </c>
      <c r="H46" s="10">
        <f t="shared" si="10"/>
        <v>2.6329409909188271</v>
      </c>
      <c r="I46" s="12">
        <f t="shared" si="11"/>
        <v>400.4</v>
      </c>
      <c r="J46" s="17">
        <f t="shared" si="2"/>
        <v>3041.4658086224026</v>
      </c>
      <c r="K46" s="12">
        <f t="shared" si="3"/>
        <v>9531.053510356498</v>
      </c>
      <c r="L46" s="12">
        <f t="shared" si="4"/>
        <v>6805.4726718147804</v>
      </c>
      <c r="M46" s="14">
        <f t="shared" si="5"/>
        <v>1.2185729981466276</v>
      </c>
      <c r="N46" s="14">
        <f t="shared" si="6"/>
        <v>0.1</v>
      </c>
      <c r="O46" s="18">
        <f t="shared" si="7"/>
        <v>3026.2584795792905</v>
      </c>
      <c r="P46" s="12">
        <f t="shared" si="8"/>
        <v>15.207329043112168</v>
      </c>
      <c r="Q46" s="19">
        <f t="shared" si="9"/>
        <v>3132.7097828810747</v>
      </c>
    </row>
    <row r="47" spans="2:17" ht="17.100000000000001" customHeight="1" x14ac:dyDescent="0.3">
      <c r="B47" s="7" t="s">
        <v>50</v>
      </c>
      <c r="C47" s="7" t="s">
        <v>38</v>
      </c>
      <c r="D47" s="12">
        <f>$C$11+70</f>
        <v>3070</v>
      </c>
      <c r="E47" s="9">
        <v>46</v>
      </c>
      <c r="F47" s="10">
        <f t="shared" si="0"/>
        <v>0.17524429967426711</v>
      </c>
      <c r="G47" s="11">
        <f t="shared" si="1"/>
        <v>26.9</v>
      </c>
      <c r="H47" s="10">
        <f t="shared" si="10"/>
        <v>2.808185290593094</v>
      </c>
      <c r="I47" s="12">
        <f t="shared" si="11"/>
        <v>427.29999999999995</v>
      </c>
      <c r="J47" s="17">
        <f t="shared" si="2"/>
        <v>3043.2464797203852</v>
      </c>
      <c r="K47" s="12">
        <f t="shared" si="3"/>
        <v>9497.5711578792016</v>
      </c>
      <c r="L47" s="12">
        <f t="shared" si="4"/>
        <v>6571.4080210804477</v>
      </c>
      <c r="M47" s="14">
        <f t="shared" si="5"/>
        <v>1.140523785368224</v>
      </c>
      <c r="N47" s="14">
        <f t="shared" si="6"/>
        <v>0.1</v>
      </c>
      <c r="O47" s="18">
        <f t="shared" si="7"/>
        <v>3028.0302473217835</v>
      </c>
      <c r="P47" s="12">
        <f t="shared" si="8"/>
        <v>15.216232398601733</v>
      </c>
      <c r="Q47" s="19">
        <f t="shared" si="9"/>
        <v>3134.543874111997</v>
      </c>
    </row>
    <row r="48" spans="2:17" ht="17.100000000000001" customHeight="1" x14ac:dyDescent="0.3">
      <c r="B48" s="7" t="s">
        <v>50</v>
      </c>
      <c r="C48" s="7" t="s">
        <v>39</v>
      </c>
      <c r="D48" s="12">
        <f>$C$11+72.5</f>
        <v>3072.5</v>
      </c>
      <c r="E48" s="9">
        <v>48</v>
      </c>
      <c r="F48" s="10">
        <f t="shared" si="0"/>
        <v>0.1822620016273393</v>
      </c>
      <c r="G48" s="11">
        <f t="shared" si="1"/>
        <v>28</v>
      </c>
      <c r="H48" s="10">
        <f t="shared" si="10"/>
        <v>2.9904472922204333</v>
      </c>
      <c r="I48" s="12">
        <f t="shared" si="11"/>
        <v>455.29999999999995</v>
      </c>
      <c r="J48" s="17">
        <f t="shared" si="2"/>
        <v>3045.0294254270957</v>
      </c>
      <c r="K48" s="12">
        <f t="shared" si="3"/>
        <v>9462.5506946527203</v>
      </c>
      <c r="L48" s="12">
        <f t="shared" si="4"/>
        <v>6357.2246610359243</v>
      </c>
      <c r="M48" s="14">
        <f t="shared" si="5"/>
        <v>1.0690723062769485</v>
      </c>
      <c r="N48" s="14">
        <f t="shared" si="6"/>
        <v>0.1</v>
      </c>
      <c r="O48" s="18">
        <f t="shared" si="7"/>
        <v>3029.8042782999601</v>
      </c>
      <c r="P48" s="12">
        <f t="shared" si="8"/>
        <v>15.225147127135642</v>
      </c>
      <c r="Q48" s="19">
        <f t="shared" si="9"/>
        <v>3136.3803081899086</v>
      </c>
    </row>
    <row r="49" spans="2:17" ht="17.100000000000001" customHeight="1" x14ac:dyDescent="0.3">
      <c r="B49" s="7" t="s">
        <v>50</v>
      </c>
      <c r="C49" s="7" t="s">
        <v>40</v>
      </c>
      <c r="D49" s="12">
        <f>$C$11+75</f>
        <v>3075</v>
      </c>
      <c r="E49" s="9">
        <v>50</v>
      </c>
      <c r="F49" s="10">
        <f t="shared" si="0"/>
        <v>0.18991869918699186</v>
      </c>
      <c r="G49" s="11">
        <f t="shared" si="1"/>
        <v>29.2</v>
      </c>
      <c r="H49" s="10">
        <f t="shared" si="10"/>
        <v>3.1803659914074252</v>
      </c>
      <c r="I49" s="12">
        <f t="shared" si="11"/>
        <v>484.49999999999994</v>
      </c>
      <c r="J49" s="17">
        <f t="shared" si="2"/>
        <v>3046.8191479156862</v>
      </c>
      <c r="K49" s="12">
        <f t="shared" si="3"/>
        <v>9425.8745764221658</v>
      </c>
      <c r="L49" s="12">
        <f t="shared" si="4"/>
        <v>6160.3098052010209</v>
      </c>
      <c r="M49" s="14">
        <f t="shared" si="5"/>
        <v>1.0033527821791939</v>
      </c>
      <c r="N49" s="14">
        <f t="shared" si="6"/>
        <v>0.1</v>
      </c>
      <c r="O49" s="18">
        <f t="shared" si="7"/>
        <v>3031.5850521761076</v>
      </c>
      <c r="P49" s="12">
        <f t="shared" si="8"/>
        <v>15.234095739578606</v>
      </c>
      <c r="Q49" s="19">
        <f t="shared" si="9"/>
        <v>3138.223722353157</v>
      </c>
    </row>
    <row r="50" spans="2:17" ht="17.100000000000001" customHeight="1" x14ac:dyDescent="0.3">
      <c r="B50" s="7" t="s">
        <v>50</v>
      </c>
      <c r="C50" s="7" t="s">
        <v>41</v>
      </c>
      <c r="D50" s="12">
        <f>$C$11+77.5</f>
        <v>3077.5</v>
      </c>
      <c r="E50" s="9">
        <v>52</v>
      </c>
      <c r="F50" s="10">
        <f t="shared" si="0"/>
        <v>0.19756295694557272</v>
      </c>
      <c r="G50" s="11">
        <f t="shared" si="1"/>
        <v>30.4</v>
      </c>
      <c r="H50" s="10">
        <f t="shared" si="10"/>
        <v>3.3779289483529977</v>
      </c>
      <c r="I50" s="12">
        <f t="shared" si="11"/>
        <v>514.9</v>
      </c>
      <c r="J50" s="17">
        <f t="shared" si="2"/>
        <v>3048.6135609871467</v>
      </c>
      <c r="K50" s="12">
        <f t="shared" si="3"/>
        <v>9387.523661443649</v>
      </c>
      <c r="L50" s="12">
        <f t="shared" si="4"/>
        <v>5979.1118268549571</v>
      </c>
      <c r="M50" s="14">
        <f t="shared" si="5"/>
        <v>0.94284705990412909</v>
      </c>
      <c r="N50" s="14">
        <f t="shared" si="6"/>
        <v>0.1</v>
      </c>
      <c r="O50" s="18">
        <f t="shared" si="7"/>
        <v>3033.3704931822108</v>
      </c>
      <c r="P50" s="12">
        <f t="shared" si="8"/>
        <v>15.24306780493589</v>
      </c>
      <c r="Q50" s="19">
        <f t="shared" si="9"/>
        <v>3140.0719678167611</v>
      </c>
    </row>
    <row r="51" spans="2:17" ht="17.100000000000001" customHeight="1" x14ac:dyDescent="0.3">
      <c r="B51" s="7" t="s">
        <v>50</v>
      </c>
      <c r="C51" s="7" t="s">
        <v>42</v>
      </c>
      <c r="D51" s="12">
        <f>$C$11+80</f>
        <v>3080</v>
      </c>
      <c r="E51" s="9">
        <v>54</v>
      </c>
      <c r="F51" s="10">
        <f t="shared" ref="F51:F82" si="12">(G51*$C$13)/D51</f>
        <v>0.20454545454545456</v>
      </c>
      <c r="G51" s="11">
        <f t="shared" ref="G51:G82" si="13">ROUND($C$12*E51/SUM($E$19:$E$118), 1)</f>
        <v>31.5</v>
      </c>
      <c r="H51" s="10">
        <f t="shared" si="10"/>
        <v>3.5824744028984523</v>
      </c>
      <c r="I51" s="12">
        <f t="shared" si="11"/>
        <v>546.4</v>
      </c>
      <c r="J51" s="17">
        <f t="shared" ref="J51:J82" si="14">I51*$C$13/H51</f>
        <v>3050.4056054548623</v>
      </c>
      <c r="K51" s="12">
        <f t="shared" ref="K51:K82" si="15">$C$12-I51+H51*(J51-D51)</f>
        <v>9347.5788390727666</v>
      </c>
      <c r="L51" s="12">
        <f t="shared" ref="L51:L82" si="16">(J51*H51+$C$12)/(H51*(1+$C$14))</f>
        <v>5812.7088305689131</v>
      </c>
      <c r="M51" s="14">
        <f t="shared" ref="M51:M82" si="17">(L51-D51)/D51</f>
        <v>0.8872431268080887</v>
      </c>
      <c r="N51" s="14">
        <f t="shared" ref="N51:N82" si="18">IF(OR(B51="1차",B51="2차"),0.1,IF(OR(B51="3차",B51="4차"),0.05,0.02))</f>
        <v>0.1</v>
      </c>
      <c r="O51" s="18">
        <f t="shared" ref="O51:O82" si="19">J51*(1-N51/$C$13)</f>
        <v>3035.1535774275881</v>
      </c>
      <c r="P51" s="12">
        <f t="shared" ref="P51:P82" si="20">J51-O51</f>
        <v>15.252028027274264</v>
      </c>
      <c r="Q51" s="19">
        <f t="shared" ref="Q51:Q82" si="21">J51*(1+$C$15)</f>
        <v>3141.9177736185084</v>
      </c>
    </row>
    <row r="52" spans="2:17" ht="17.100000000000001" customHeight="1" x14ac:dyDescent="0.3">
      <c r="B52" s="7" t="s">
        <v>50</v>
      </c>
      <c r="C52" s="7" t="s">
        <v>43</v>
      </c>
      <c r="D52" s="12">
        <f>$C$11+82.5</f>
        <v>3082.5</v>
      </c>
      <c r="E52" s="9">
        <v>56</v>
      </c>
      <c r="F52" s="10">
        <f t="shared" si="12"/>
        <v>0.2121654501216545</v>
      </c>
      <c r="G52" s="11">
        <f t="shared" si="13"/>
        <v>32.700000000000003</v>
      </c>
      <c r="H52" s="10">
        <f t="shared" ref="H52:H83" si="22">H51+F52</f>
        <v>3.7946398530201066</v>
      </c>
      <c r="I52" s="12">
        <f t="shared" ref="I52:I83" si="23">I51+G52</f>
        <v>579.1</v>
      </c>
      <c r="J52" s="17">
        <f t="shared" si="14"/>
        <v>3052.200063408397</v>
      </c>
      <c r="K52" s="12">
        <f t="shared" si="15"/>
        <v>9305.9226530655214</v>
      </c>
      <c r="L52" s="12">
        <f t="shared" si="16"/>
        <v>5659.2002660226781</v>
      </c>
      <c r="M52" s="14">
        <f t="shared" si="17"/>
        <v>0.83591249506007403</v>
      </c>
      <c r="N52" s="14">
        <f t="shared" si="18"/>
        <v>0.1</v>
      </c>
      <c r="O52" s="18">
        <f t="shared" si="19"/>
        <v>3036.9390630913549</v>
      </c>
      <c r="P52" s="12">
        <f t="shared" si="20"/>
        <v>15.26100031704209</v>
      </c>
      <c r="Q52" s="19">
        <f t="shared" si="21"/>
        <v>3143.7660653106491</v>
      </c>
    </row>
    <row r="53" spans="2:17" ht="17.100000000000001" customHeight="1" x14ac:dyDescent="0.3">
      <c r="B53" s="7" t="s">
        <v>50</v>
      </c>
      <c r="C53" s="7" t="s">
        <v>44</v>
      </c>
      <c r="D53" s="12">
        <f>$C$11+85</f>
        <v>3085</v>
      </c>
      <c r="E53" s="9">
        <v>58</v>
      </c>
      <c r="F53" s="10">
        <f t="shared" si="12"/>
        <v>0.21977309562398703</v>
      </c>
      <c r="G53" s="11">
        <f t="shared" si="13"/>
        <v>33.9</v>
      </c>
      <c r="H53" s="10">
        <f t="shared" si="22"/>
        <v>4.014412948644094</v>
      </c>
      <c r="I53" s="12">
        <f t="shared" si="23"/>
        <v>613</v>
      </c>
      <c r="J53" s="17">
        <f t="shared" si="14"/>
        <v>3053.9957290993025</v>
      </c>
      <c r="K53" s="12">
        <f t="shared" si="15"/>
        <v>9262.5360534329702</v>
      </c>
      <c r="L53" s="12">
        <f t="shared" si="16"/>
        <v>5517.4328138873716</v>
      </c>
      <c r="M53" s="14">
        <f t="shared" si="17"/>
        <v>0.78847092832653864</v>
      </c>
      <c r="N53" s="14">
        <f t="shared" si="18"/>
        <v>0.1</v>
      </c>
      <c r="O53" s="18">
        <f t="shared" si="19"/>
        <v>3038.7257504538061</v>
      </c>
      <c r="P53" s="12">
        <f t="shared" si="20"/>
        <v>15.269978645496394</v>
      </c>
      <c r="Q53" s="19">
        <f t="shared" si="21"/>
        <v>3145.6156009722818</v>
      </c>
    </row>
    <row r="54" spans="2:17" ht="17.100000000000001" customHeight="1" x14ac:dyDescent="0.3">
      <c r="B54" s="7" t="s">
        <v>50</v>
      </c>
      <c r="C54" s="7" t="s">
        <v>45</v>
      </c>
      <c r="D54" s="12">
        <f>$C$11+87.5</f>
        <v>3087.5</v>
      </c>
      <c r="E54" s="9">
        <v>60</v>
      </c>
      <c r="F54" s="10">
        <f t="shared" si="12"/>
        <v>0.22672064777327935</v>
      </c>
      <c r="G54" s="11">
        <f t="shared" si="13"/>
        <v>35</v>
      </c>
      <c r="H54" s="10">
        <f t="shared" si="22"/>
        <v>4.2411335964173738</v>
      </c>
      <c r="I54" s="12">
        <f t="shared" si="23"/>
        <v>648</v>
      </c>
      <c r="J54" s="17">
        <f t="shared" si="14"/>
        <v>3055.7867856244243</v>
      </c>
      <c r="K54" s="12">
        <f t="shared" si="15"/>
        <v>9217.5000210613598</v>
      </c>
      <c r="L54" s="12">
        <f t="shared" si="16"/>
        <v>5386.713392753576</v>
      </c>
      <c r="M54" s="14">
        <f t="shared" si="17"/>
        <v>0.74468449967727157</v>
      </c>
      <c r="N54" s="14">
        <f t="shared" si="18"/>
        <v>0.1</v>
      </c>
      <c r="O54" s="18">
        <f t="shared" si="19"/>
        <v>3040.5078516963022</v>
      </c>
      <c r="P54" s="12">
        <f t="shared" si="20"/>
        <v>15.278933928122115</v>
      </c>
      <c r="Q54" s="19">
        <f t="shared" si="21"/>
        <v>3147.460389193157</v>
      </c>
    </row>
    <row r="55" spans="2:17" ht="17.100000000000001" customHeight="1" x14ac:dyDescent="0.3">
      <c r="B55" s="7" t="s">
        <v>50</v>
      </c>
      <c r="C55" s="7" t="s">
        <v>46</v>
      </c>
      <c r="D55" s="12">
        <f>$C$11+90</f>
        <v>3090</v>
      </c>
      <c r="E55" s="9">
        <v>62</v>
      </c>
      <c r="F55" s="10">
        <f t="shared" si="12"/>
        <v>0.23430420711974109</v>
      </c>
      <c r="G55" s="11">
        <f t="shared" si="13"/>
        <v>36.200000000000003</v>
      </c>
      <c r="H55" s="10">
        <f t="shared" si="22"/>
        <v>4.4754378035371145</v>
      </c>
      <c r="I55" s="12">
        <f t="shared" si="23"/>
        <v>684.2</v>
      </c>
      <c r="J55" s="17">
        <f t="shared" si="14"/>
        <v>3057.5779623582293</v>
      </c>
      <c r="K55" s="12">
        <f t="shared" si="15"/>
        <v>9170.6971870703164</v>
      </c>
      <c r="L55" s="12">
        <f t="shared" si="16"/>
        <v>5265.6678941228029</v>
      </c>
      <c r="M55" s="14">
        <f t="shared" si="17"/>
        <v>0.70409964211093945</v>
      </c>
      <c r="N55" s="14">
        <f t="shared" si="18"/>
        <v>0.1</v>
      </c>
      <c r="O55" s="18">
        <f t="shared" si="19"/>
        <v>3042.2900725464383</v>
      </c>
      <c r="P55" s="12">
        <f t="shared" si="20"/>
        <v>15.287889811791047</v>
      </c>
      <c r="Q55" s="19">
        <f t="shared" si="21"/>
        <v>3149.3053012289761</v>
      </c>
    </row>
    <row r="56" spans="2:17" ht="17.100000000000001" customHeight="1" x14ac:dyDescent="0.3">
      <c r="B56" s="7" t="s">
        <v>50</v>
      </c>
      <c r="C56" s="7" t="s">
        <v>47</v>
      </c>
      <c r="D56" s="12">
        <f>$C$11+92.5</f>
        <v>3092.5</v>
      </c>
      <c r="E56" s="9">
        <v>64</v>
      </c>
      <c r="F56" s="10">
        <f t="shared" si="12"/>
        <v>0.24187550525464835</v>
      </c>
      <c r="G56" s="11">
        <f t="shared" si="13"/>
        <v>37.4</v>
      </c>
      <c r="H56" s="10">
        <f t="shared" si="22"/>
        <v>4.7173133087917627</v>
      </c>
      <c r="I56" s="12">
        <f t="shared" si="23"/>
        <v>721.6</v>
      </c>
      <c r="J56" s="17">
        <f t="shared" si="14"/>
        <v>3059.368554787904</v>
      </c>
      <c r="K56" s="12">
        <f t="shared" si="15"/>
        <v>9122.1085925614734</v>
      </c>
      <c r="L56" s="12">
        <f t="shared" si="16"/>
        <v>5153.4520117385682</v>
      </c>
      <c r="M56" s="14">
        <f t="shared" si="17"/>
        <v>0.66643557372306172</v>
      </c>
      <c r="N56" s="14">
        <f t="shared" si="18"/>
        <v>0.1</v>
      </c>
      <c r="O56" s="18">
        <f t="shared" si="19"/>
        <v>3044.0717120139643</v>
      </c>
      <c r="P56" s="12">
        <f t="shared" si="20"/>
        <v>15.296842773939716</v>
      </c>
      <c r="Q56" s="19">
        <f t="shared" si="21"/>
        <v>3151.1496114315414</v>
      </c>
    </row>
    <row r="57" spans="2:17" ht="17.100000000000001" customHeight="1" x14ac:dyDescent="0.3">
      <c r="B57" s="7" t="s">
        <v>50</v>
      </c>
      <c r="C57" s="7" t="s">
        <v>48</v>
      </c>
      <c r="D57" s="12">
        <f>$C$11+95</f>
        <v>3095</v>
      </c>
      <c r="E57" s="9">
        <v>66</v>
      </c>
      <c r="F57" s="10">
        <f t="shared" si="12"/>
        <v>0.24878836833602586</v>
      </c>
      <c r="G57" s="11">
        <f t="shared" si="13"/>
        <v>38.5</v>
      </c>
      <c r="H57" s="10">
        <f t="shared" si="22"/>
        <v>4.9661016771277886</v>
      </c>
      <c r="I57" s="12">
        <f t="shared" si="23"/>
        <v>760.1</v>
      </c>
      <c r="J57" s="17">
        <f t="shared" si="14"/>
        <v>3061.1535945821151</v>
      </c>
      <c r="K57" s="12">
        <f t="shared" si="15"/>
        <v>9071.8153092894954</v>
      </c>
      <c r="L57" s="12">
        <f t="shared" si="16"/>
        <v>5049.5576904752961</v>
      </c>
      <c r="M57" s="14">
        <f t="shared" si="17"/>
        <v>0.6315210631584155</v>
      </c>
      <c r="N57" s="14">
        <f t="shared" si="18"/>
        <v>0.1</v>
      </c>
      <c r="O57" s="18">
        <f t="shared" si="19"/>
        <v>3045.8478266092047</v>
      </c>
      <c r="P57" s="12">
        <f t="shared" si="20"/>
        <v>15.305767972910417</v>
      </c>
      <c r="Q57" s="19">
        <f t="shared" si="21"/>
        <v>3152.9882024195786</v>
      </c>
    </row>
    <row r="58" spans="2:17" ht="17.100000000000001" customHeight="1" x14ac:dyDescent="0.3">
      <c r="B58" s="7" t="s">
        <v>50</v>
      </c>
      <c r="C58" s="7" t="s">
        <v>49</v>
      </c>
      <c r="D58" s="12">
        <f>$C$11+97.5</f>
        <v>3097.5</v>
      </c>
      <c r="E58" s="9">
        <v>68</v>
      </c>
      <c r="F58" s="10">
        <f t="shared" si="12"/>
        <v>0.25633575464083941</v>
      </c>
      <c r="G58" s="11">
        <f t="shared" si="13"/>
        <v>39.700000000000003</v>
      </c>
      <c r="H58" s="10">
        <f t="shared" si="22"/>
        <v>5.2224374317686282</v>
      </c>
      <c r="I58" s="12">
        <f t="shared" si="23"/>
        <v>799.80000000000007</v>
      </c>
      <c r="J58" s="17">
        <f t="shared" si="14"/>
        <v>3062.9376050911928</v>
      </c>
      <c r="K58" s="12">
        <f t="shared" si="15"/>
        <v>9019.7000550966768</v>
      </c>
      <c r="L58" s="12">
        <f t="shared" si="16"/>
        <v>4952.9873750745301</v>
      </c>
      <c r="M58" s="14">
        <f t="shared" si="17"/>
        <v>0.59902740115400488</v>
      </c>
      <c r="N58" s="14">
        <f t="shared" si="18"/>
        <v>0.1</v>
      </c>
      <c r="O58" s="18">
        <f t="shared" si="19"/>
        <v>3047.6229170657371</v>
      </c>
      <c r="P58" s="12">
        <f t="shared" si="20"/>
        <v>15.31468802545578</v>
      </c>
      <c r="Q58" s="19">
        <f t="shared" si="21"/>
        <v>3154.8257332439289</v>
      </c>
    </row>
    <row r="59" spans="2:17" ht="17.100000000000001" customHeight="1" x14ac:dyDescent="0.3">
      <c r="B59" s="7" t="s">
        <v>51</v>
      </c>
      <c r="C59" s="7" t="s">
        <v>30</v>
      </c>
      <c r="D59" s="12">
        <f>$C$11+100</f>
        <v>3100</v>
      </c>
      <c r="E59" s="9">
        <v>70</v>
      </c>
      <c r="F59" s="10">
        <f t="shared" si="12"/>
        <v>0.26387096774193547</v>
      </c>
      <c r="G59" s="11">
        <f t="shared" si="13"/>
        <v>40.9</v>
      </c>
      <c r="H59" s="10">
        <f t="shared" si="22"/>
        <v>5.4863083995105635</v>
      </c>
      <c r="I59" s="12">
        <f t="shared" si="23"/>
        <v>840.7</v>
      </c>
      <c r="J59" s="17">
        <f t="shared" si="14"/>
        <v>3064.7201680277371</v>
      </c>
      <c r="K59" s="12">
        <f t="shared" si="15"/>
        <v>8965.7439615172516</v>
      </c>
      <c r="L59" s="12">
        <f t="shared" si="16"/>
        <v>4863.1238115060332</v>
      </c>
      <c r="M59" s="14">
        <f t="shared" si="17"/>
        <v>0.56874961661484946</v>
      </c>
      <c r="N59" s="14">
        <f t="shared" si="18"/>
        <v>0.05</v>
      </c>
      <c r="O59" s="18">
        <f t="shared" si="19"/>
        <v>3057.0583676076681</v>
      </c>
      <c r="P59" s="12">
        <f t="shared" si="20"/>
        <v>7.6618004200690848</v>
      </c>
      <c r="Q59" s="19">
        <f t="shared" si="21"/>
        <v>3156.6617730685693</v>
      </c>
    </row>
    <row r="60" spans="2:17" ht="17.100000000000001" customHeight="1" x14ac:dyDescent="0.3">
      <c r="B60" s="7" t="s">
        <v>51</v>
      </c>
      <c r="C60" s="7" t="s">
        <v>31</v>
      </c>
      <c r="D60" s="12">
        <f>$C$11+102.5</f>
        <v>3102.5</v>
      </c>
      <c r="E60" s="9">
        <v>74</v>
      </c>
      <c r="F60" s="10">
        <f t="shared" si="12"/>
        <v>0.27848509266720389</v>
      </c>
      <c r="G60" s="11">
        <f t="shared" si="13"/>
        <v>43.2</v>
      </c>
      <c r="H60" s="10">
        <f t="shared" si="22"/>
        <v>5.764793492177767</v>
      </c>
      <c r="I60" s="12">
        <f t="shared" si="23"/>
        <v>883.90000000000009</v>
      </c>
      <c r="J60" s="17">
        <f t="shared" si="14"/>
        <v>3066.5452325373376</v>
      </c>
      <c r="K60" s="12">
        <f t="shared" si="15"/>
        <v>8908.8281905184795</v>
      </c>
      <c r="L60" s="12">
        <f t="shared" si="16"/>
        <v>4777.3261166825914</v>
      </c>
      <c r="M60" s="14">
        <f t="shared" si="17"/>
        <v>0.53983114155764433</v>
      </c>
      <c r="N60" s="14">
        <f t="shared" si="18"/>
        <v>0.05</v>
      </c>
      <c r="O60" s="18">
        <f t="shared" si="19"/>
        <v>3058.8788694559944</v>
      </c>
      <c r="P60" s="12">
        <f t="shared" si="20"/>
        <v>7.6663630813432064</v>
      </c>
      <c r="Q60" s="19">
        <f t="shared" si="21"/>
        <v>3158.5415895134579</v>
      </c>
    </row>
    <row r="61" spans="2:17" ht="17.100000000000001" customHeight="1" x14ac:dyDescent="0.3">
      <c r="B61" s="7" t="s">
        <v>51</v>
      </c>
      <c r="C61" s="7" t="s">
        <v>32</v>
      </c>
      <c r="D61" s="12">
        <f>$C$11+105</f>
        <v>3105</v>
      </c>
      <c r="E61" s="9">
        <v>78</v>
      </c>
      <c r="F61" s="10">
        <f t="shared" si="12"/>
        <v>0.29307568438003223</v>
      </c>
      <c r="G61" s="11">
        <f t="shared" si="13"/>
        <v>45.5</v>
      </c>
      <c r="H61" s="10">
        <f t="shared" si="22"/>
        <v>6.0578691765577997</v>
      </c>
      <c r="I61" s="12">
        <f t="shared" si="23"/>
        <v>929.40000000000009</v>
      </c>
      <c r="J61" s="17">
        <f t="shared" si="14"/>
        <v>3068.4056486280983</v>
      </c>
      <c r="K61" s="12">
        <f t="shared" si="15"/>
        <v>8848.9162067880316</v>
      </c>
      <c r="L61" s="12">
        <f t="shared" si="16"/>
        <v>4695.6727382551462</v>
      </c>
      <c r="M61" s="14">
        <f t="shared" si="17"/>
        <v>0.51229395757009544</v>
      </c>
      <c r="N61" s="14">
        <f t="shared" si="18"/>
        <v>0.05</v>
      </c>
      <c r="O61" s="18">
        <f t="shared" si="19"/>
        <v>3060.7346345065284</v>
      </c>
      <c r="P61" s="12">
        <f t="shared" si="20"/>
        <v>7.6710141215698968</v>
      </c>
      <c r="Q61" s="19">
        <f t="shared" si="21"/>
        <v>3160.4578180869412</v>
      </c>
    </row>
    <row r="62" spans="2:17" ht="17.100000000000001" customHeight="1" x14ac:dyDescent="0.3">
      <c r="B62" s="7" t="s">
        <v>51</v>
      </c>
      <c r="C62" s="7" t="s">
        <v>33</v>
      </c>
      <c r="D62" s="12">
        <f>$C$11+107.5</f>
        <v>3107.5</v>
      </c>
      <c r="E62" s="9">
        <v>82</v>
      </c>
      <c r="F62" s="10">
        <f t="shared" si="12"/>
        <v>0.30828640386162509</v>
      </c>
      <c r="G62" s="11">
        <f t="shared" si="13"/>
        <v>47.9</v>
      </c>
      <c r="H62" s="10">
        <f t="shared" si="22"/>
        <v>6.3661555804194245</v>
      </c>
      <c r="I62" s="12">
        <f t="shared" si="23"/>
        <v>977.30000000000007</v>
      </c>
      <c r="J62" s="17">
        <f t="shared" si="14"/>
        <v>3070.2988252624891</v>
      </c>
      <c r="K62" s="12">
        <f t="shared" si="15"/>
        <v>8785.8715338466372</v>
      </c>
      <c r="L62" s="12">
        <f t="shared" si="16"/>
        <v>4618.0154731919811</v>
      </c>
      <c r="M62" s="14">
        <f t="shared" si="17"/>
        <v>0.48608703883893195</v>
      </c>
      <c r="N62" s="14">
        <f t="shared" si="18"/>
        <v>0.05</v>
      </c>
      <c r="O62" s="18">
        <f t="shared" si="19"/>
        <v>3062.6230781993331</v>
      </c>
      <c r="P62" s="12">
        <f t="shared" si="20"/>
        <v>7.6757470631559954</v>
      </c>
      <c r="Q62" s="19">
        <f t="shared" si="21"/>
        <v>3162.4077900203638</v>
      </c>
    </row>
    <row r="63" spans="2:17" ht="17.100000000000001" customHeight="1" x14ac:dyDescent="0.3">
      <c r="B63" s="7" t="s">
        <v>51</v>
      </c>
      <c r="C63" s="7" t="s">
        <v>34</v>
      </c>
      <c r="D63" s="12">
        <f>$C$11+110</f>
        <v>3110</v>
      </c>
      <c r="E63" s="9">
        <v>86</v>
      </c>
      <c r="F63" s="10">
        <f t="shared" si="12"/>
        <v>0.32282958199356915</v>
      </c>
      <c r="G63" s="11">
        <f t="shared" si="13"/>
        <v>50.2</v>
      </c>
      <c r="H63" s="10">
        <f t="shared" si="22"/>
        <v>6.6889851624129939</v>
      </c>
      <c r="I63" s="12">
        <f t="shared" si="23"/>
        <v>1027.5</v>
      </c>
      <c r="J63" s="17">
        <f t="shared" si="14"/>
        <v>3072.2149176642461</v>
      </c>
      <c r="K63" s="12">
        <f t="shared" si="15"/>
        <v>8719.7561448955894</v>
      </c>
      <c r="L63" s="12">
        <f t="shared" si="16"/>
        <v>4544.4875735503856</v>
      </c>
      <c r="M63" s="14">
        <f t="shared" si="17"/>
        <v>0.46125002364964168</v>
      </c>
      <c r="N63" s="14">
        <f t="shared" si="18"/>
        <v>0.05</v>
      </c>
      <c r="O63" s="18">
        <f t="shared" si="19"/>
        <v>3064.5343803700857</v>
      </c>
      <c r="P63" s="12">
        <f t="shared" si="20"/>
        <v>7.6805372941603309</v>
      </c>
      <c r="Q63" s="19">
        <f t="shared" si="21"/>
        <v>3164.3813651941737</v>
      </c>
    </row>
    <row r="64" spans="2:17" ht="17.100000000000001" customHeight="1" x14ac:dyDescent="0.3">
      <c r="B64" s="7" t="s">
        <v>51</v>
      </c>
      <c r="C64" s="7" t="s">
        <v>35</v>
      </c>
      <c r="D64" s="12">
        <f>$C$11+112.5</f>
        <v>3112.5</v>
      </c>
      <c r="E64" s="9">
        <v>90</v>
      </c>
      <c r="F64" s="10">
        <f t="shared" si="12"/>
        <v>0.33734939759036142</v>
      </c>
      <c r="G64" s="11">
        <f t="shared" si="13"/>
        <v>52.5</v>
      </c>
      <c r="H64" s="10">
        <f t="shared" si="22"/>
        <v>7.0263345600033551</v>
      </c>
      <c r="I64" s="12">
        <f t="shared" si="23"/>
        <v>1080</v>
      </c>
      <c r="J64" s="17">
        <f t="shared" si="14"/>
        <v>3074.1490909009158</v>
      </c>
      <c r="K64" s="12">
        <f t="shared" si="15"/>
        <v>8650.5336819895565</v>
      </c>
      <c r="L64" s="12">
        <f t="shared" si="16"/>
        <v>4474.9913060838835</v>
      </c>
      <c r="M64" s="14">
        <f t="shared" si="17"/>
        <v>0.43774821079000276</v>
      </c>
      <c r="N64" s="14">
        <f t="shared" si="18"/>
        <v>0.05</v>
      </c>
      <c r="O64" s="18">
        <f t="shared" si="19"/>
        <v>3066.4637181736634</v>
      </c>
      <c r="P64" s="12">
        <f t="shared" si="20"/>
        <v>7.6853727272523429</v>
      </c>
      <c r="Q64" s="19">
        <f t="shared" si="21"/>
        <v>3166.3735636279434</v>
      </c>
    </row>
    <row r="65" spans="2:17" ht="17.100000000000001" customHeight="1" x14ac:dyDescent="0.3">
      <c r="B65" s="7" t="s">
        <v>51</v>
      </c>
      <c r="C65" s="7" t="s">
        <v>36</v>
      </c>
      <c r="D65" s="12">
        <f>$C$11+115</f>
        <v>3115</v>
      </c>
      <c r="E65" s="9">
        <v>94</v>
      </c>
      <c r="F65" s="10">
        <f t="shared" si="12"/>
        <v>0.35248796147672551</v>
      </c>
      <c r="G65" s="11">
        <f t="shared" si="13"/>
        <v>54.9</v>
      </c>
      <c r="H65" s="10">
        <f t="shared" si="22"/>
        <v>7.3788225214800809</v>
      </c>
      <c r="I65" s="12">
        <f t="shared" si="23"/>
        <v>1134.9000000000001</v>
      </c>
      <c r="J65" s="17">
        <f t="shared" si="14"/>
        <v>3076.1005477398476</v>
      </c>
      <c r="K65" s="12">
        <f t="shared" si="15"/>
        <v>8578.0678455895486</v>
      </c>
      <c r="L65" s="12">
        <f t="shared" si="16"/>
        <v>4409.2839051722422</v>
      </c>
      <c r="M65" s="14">
        <f t="shared" si="17"/>
        <v>0.41550045109863309</v>
      </c>
      <c r="N65" s="14">
        <f t="shared" si="18"/>
        <v>0.05</v>
      </c>
      <c r="O65" s="18">
        <f t="shared" si="19"/>
        <v>3068.4102963704981</v>
      </c>
      <c r="P65" s="12">
        <f t="shared" si="20"/>
        <v>7.6902513693494257</v>
      </c>
      <c r="Q65" s="19">
        <f t="shared" si="21"/>
        <v>3168.383564172043</v>
      </c>
    </row>
    <row r="66" spans="2:17" ht="17.100000000000001" customHeight="1" x14ac:dyDescent="0.3">
      <c r="B66" s="7" t="s">
        <v>51</v>
      </c>
      <c r="C66" s="7" t="s">
        <v>37</v>
      </c>
      <c r="D66" s="12">
        <f>$C$11+117.5</f>
        <v>3117.5</v>
      </c>
      <c r="E66" s="9">
        <v>98</v>
      </c>
      <c r="F66" s="10">
        <f t="shared" si="12"/>
        <v>0.36696070569366479</v>
      </c>
      <c r="G66" s="11">
        <f t="shared" si="13"/>
        <v>57.2</v>
      </c>
      <c r="H66" s="10">
        <f t="shared" si="22"/>
        <v>7.7457832271737459</v>
      </c>
      <c r="I66" s="12">
        <f t="shared" si="23"/>
        <v>1192.1000000000001</v>
      </c>
      <c r="J66" s="17">
        <f t="shared" si="14"/>
        <v>3078.0618693739752</v>
      </c>
      <c r="K66" s="12">
        <f t="shared" si="15"/>
        <v>8502.4207892858503</v>
      </c>
      <c r="L66" s="12">
        <f t="shared" si="16"/>
        <v>4347.3501456459871</v>
      </c>
      <c r="M66" s="14">
        <f t="shared" si="17"/>
        <v>0.39449884383191247</v>
      </c>
      <c r="N66" s="14">
        <f t="shared" si="18"/>
        <v>0.05</v>
      </c>
      <c r="O66" s="18">
        <f t="shared" si="19"/>
        <v>3070.3667147005403</v>
      </c>
      <c r="P66" s="12">
        <f t="shared" si="20"/>
        <v>7.6951546734348995</v>
      </c>
      <c r="Q66" s="19">
        <f t="shared" si="21"/>
        <v>3170.4037254551945</v>
      </c>
    </row>
    <row r="67" spans="2:17" ht="17.100000000000001" customHeight="1" x14ac:dyDescent="0.3">
      <c r="B67" s="7" t="s">
        <v>51</v>
      </c>
      <c r="C67" s="7" t="s">
        <v>38</v>
      </c>
      <c r="D67" s="12">
        <f>$C$11+120</f>
        <v>3120</v>
      </c>
      <c r="E67" s="9">
        <v>102</v>
      </c>
      <c r="F67" s="10">
        <f t="shared" si="12"/>
        <v>0.38141025641025639</v>
      </c>
      <c r="G67" s="11">
        <f t="shared" si="13"/>
        <v>59.5</v>
      </c>
      <c r="H67" s="10">
        <f t="shared" si="22"/>
        <v>8.1271934835840014</v>
      </c>
      <c r="I67" s="12">
        <f t="shared" si="23"/>
        <v>1251.6000000000001</v>
      </c>
      <c r="J67" s="17">
        <f t="shared" si="14"/>
        <v>3080.0300313462171</v>
      </c>
      <c r="K67" s="12">
        <f t="shared" si="15"/>
        <v>8423.5563312179183</v>
      </c>
      <c r="L67" s="12">
        <f t="shared" si="16"/>
        <v>4289.0219745838031</v>
      </c>
      <c r="M67" s="14">
        <f t="shared" si="17"/>
        <v>0.37468653031532151</v>
      </c>
      <c r="N67" s="14">
        <f t="shared" si="18"/>
        <v>0.05</v>
      </c>
      <c r="O67" s="18">
        <f t="shared" si="19"/>
        <v>3072.3299562678517</v>
      </c>
      <c r="P67" s="12">
        <f t="shared" si="20"/>
        <v>7.7000750783654439</v>
      </c>
      <c r="Q67" s="19">
        <f t="shared" si="21"/>
        <v>3172.4309322866038</v>
      </c>
    </row>
    <row r="68" spans="2:17" ht="17.100000000000001" customHeight="1" x14ac:dyDescent="0.3">
      <c r="B68" s="7" t="s">
        <v>51</v>
      </c>
      <c r="C68" s="7" t="s">
        <v>39</v>
      </c>
      <c r="D68" s="12">
        <f>$C$11+122.5</f>
        <v>3122.5</v>
      </c>
      <c r="E68" s="9">
        <v>106</v>
      </c>
      <c r="F68" s="10">
        <f t="shared" si="12"/>
        <v>0.39647718174539631</v>
      </c>
      <c r="G68" s="11">
        <f t="shared" si="13"/>
        <v>61.9</v>
      </c>
      <c r="H68" s="10">
        <f t="shared" si="22"/>
        <v>8.5236706653293979</v>
      </c>
      <c r="I68" s="12">
        <f t="shared" si="23"/>
        <v>1313.5000000000002</v>
      </c>
      <c r="J68" s="17">
        <f t="shared" si="14"/>
        <v>3082.0055151655483</v>
      </c>
      <c r="K68" s="12">
        <f t="shared" si="15"/>
        <v>8341.3383475089577</v>
      </c>
      <c r="L68" s="12">
        <f t="shared" si="16"/>
        <v>4234.0387910108557</v>
      </c>
      <c r="M68" s="14">
        <f t="shared" si="17"/>
        <v>0.35597719487937735</v>
      </c>
      <c r="N68" s="14">
        <f t="shared" si="18"/>
        <v>0.05</v>
      </c>
      <c r="O68" s="18">
        <f t="shared" si="19"/>
        <v>3074.3005013776346</v>
      </c>
      <c r="P68" s="12">
        <f t="shared" si="20"/>
        <v>7.7050137879136855</v>
      </c>
      <c r="Q68" s="19">
        <f t="shared" si="21"/>
        <v>3174.4656806205148</v>
      </c>
    </row>
    <row r="69" spans="2:17" ht="17.100000000000001" customHeight="1" x14ac:dyDescent="0.3">
      <c r="B69" s="7" t="s">
        <v>51</v>
      </c>
      <c r="C69" s="7" t="s">
        <v>40</v>
      </c>
      <c r="D69" s="12">
        <f>$C$11+125</f>
        <v>3125</v>
      </c>
      <c r="E69" s="9">
        <v>110</v>
      </c>
      <c r="F69" s="10">
        <f t="shared" si="12"/>
        <v>0.41088000000000002</v>
      </c>
      <c r="G69" s="11">
        <f t="shared" si="13"/>
        <v>64.2</v>
      </c>
      <c r="H69" s="10">
        <f t="shared" si="22"/>
        <v>8.9345506653293985</v>
      </c>
      <c r="I69" s="12">
        <f t="shared" si="23"/>
        <v>1377.7000000000003</v>
      </c>
      <c r="J69" s="17">
        <f t="shared" si="14"/>
        <v>3083.9827353515989</v>
      </c>
      <c r="K69" s="12">
        <f t="shared" si="15"/>
        <v>8255.8291708456345</v>
      </c>
      <c r="L69" s="12">
        <f t="shared" si="16"/>
        <v>4182.3215938668409</v>
      </c>
      <c r="M69" s="14">
        <f t="shared" si="17"/>
        <v>0.33834291003738909</v>
      </c>
      <c r="N69" s="14">
        <f t="shared" si="18"/>
        <v>0.05</v>
      </c>
      <c r="O69" s="18">
        <f t="shared" si="19"/>
        <v>3076.2727785132201</v>
      </c>
      <c r="P69" s="12">
        <f t="shared" si="20"/>
        <v>7.70995683837873</v>
      </c>
      <c r="Q69" s="19">
        <f t="shared" si="21"/>
        <v>3176.5022174121468</v>
      </c>
    </row>
    <row r="70" spans="2:17" ht="17.100000000000001" customHeight="1" x14ac:dyDescent="0.3">
      <c r="B70" s="7" t="s">
        <v>51</v>
      </c>
      <c r="C70" s="7" t="s">
        <v>41</v>
      </c>
      <c r="D70" s="12">
        <f>$C$11+127.5</f>
        <v>3127.5</v>
      </c>
      <c r="E70" s="9">
        <v>114</v>
      </c>
      <c r="F70" s="10">
        <f t="shared" si="12"/>
        <v>0.42525979216626697</v>
      </c>
      <c r="G70" s="11">
        <f t="shared" si="13"/>
        <v>66.5</v>
      </c>
      <c r="H70" s="10">
        <f t="shared" si="22"/>
        <v>9.3598104574956658</v>
      </c>
      <c r="I70" s="12">
        <f t="shared" si="23"/>
        <v>1444.2000000000003</v>
      </c>
      <c r="J70" s="17">
        <f t="shared" si="14"/>
        <v>3085.9599274116372</v>
      </c>
      <c r="K70" s="12">
        <f t="shared" si="15"/>
        <v>8166.9927941823116</v>
      </c>
      <c r="L70" s="12">
        <f t="shared" si="16"/>
        <v>4133.6891852010585</v>
      </c>
      <c r="M70" s="14">
        <f t="shared" si="17"/>
        <v>0.32172316073575014</v>
      </c>
      <c r="N70" s="14">
        <f t="shared" si="18"/>
        <v>0.05</v>
      </c>
      <c r="O70" s="18">
        <f t="shared" si="19"/>
        <v>3078.2450275931083</v>
      </c>
      <c r="P70" s="12">
        <f t="shared" si="20"/>
        <v>7.7148998185289202</v>
      </c>
      <c r="Q70" s="19">
        <f t="shared" si="21"/>
        <v>3178.5387252339865</v>
      </c>
    </row>
    <row r="71" spans="2:17" ht="17.100000000000001" customHeight="1" x14ac:dyDescent="0.3">
      <c r="B71" s="7" t="s">
        <v>51</v>
      </c>
      <c r="C71" s="7" t="s">
        <v>42</v>
      </c>
      <c r="D71" s="12">
        <f>$C$11+130</f>
        <v>3130</v>
      </c>
      <c r="E71" s="9">
        <v>118</v>
      </c>
      <c r="F71" s="10">
        <f t="shared" si="12"/>
        <v>0.44025559105431311</v>
      </c>
      <c r="G71" s="11">
        <f t="shared" si="13"/>
        <v>68.900000000000006</v>
      </c>
      <c r="H71" s="10">
        <f t="shared" si="22"/>
        <v>9.8000660485499793</v>
      </c>
      <c r="I71" s="12">
        <f t="shared" si="23"/>
        <v>1513.1000000000004</v>
      </c>
      <c r="J71" s="17">
        <f t="shared" si="14"/>
        <v>3087.9383720559294</v>
      </c>
      <c r="K71" s="12">
        <f t="shared" si="15"/>
        <v>8074.6932680385726</v>
      </c>
      <c r="L71" s="12">
        <f t="shared" si="16"/>
        <v>4087.9001573888486</v>
      </c>
      <c r="M71" s="14">
        <f t="shared" si="17"/>
        <v>0.30603838894212415</v>
      </c>
      <c r="N71" s="14">
        <f t="shared" si="18"/>
        <v>0.05</v>
      </c>
      <c r="O71" s="18">
        <f t="shared" si="19"/>
        <v>3080.2185261257896</v>
      </c>
      <c r="P71" s="12">
        <f t="shared" si="20"/>
        <v>7.7198459301398543</v>
      </c>
      <c r="Q71" s="19">
        <f t="shared" si="21"/>
        <v>3180.5765232176072</v>
      </c>
    </row>
    <row r="72" spans="2:17" ht="17.100000000000001" customHeight="1" x14ac:dyDescent="0.3">
      <c r="B72" s="7" t="s">
        <v>51</v>
      </c>
      <c r="C72" s="7" t="s">
        <v>43</v>
      </c>
      <c r="D72" s="12">
        <f>$C$11+132.5</f>
        <v>3132.5</v>
      </c>
      <c r="E72" s="9">
        <v>122</v>
      </c>
      <c r="F72" s="10">
        <f t="shared" si="12"/>
        <v>0.45458898643256185</v>
      </c>
      <c r="G72" s="11">
        <f t="shared" si="13"/>
        <v>71.2</v>
      </c>
      <c r="H72" s="10">
        <f t="shared" si="22"/>
        <v>10.254655034982541</v>
      </c>
      <c r="I72" s="12">
        <f t="shared" si="23"/>
        <v>1584.3000000000004</v>
      </c>
      <c r="J72" s="17">
        <f t="shared" si="14"/>
        <v>3089.9137895820945</v>
      </c>
      <c r="K72" s="12">
        <f t="shared" si="15"/>
        <v>7978.9931029171985</v>
      </c>
      <c r="L72" s="12">
        <f t="shared" si="16"/>
        <v>4044.8563919190642</v>
      </c>
      <c r="M72" s="14">
        <f t="shared" si="17"/>
        <v>0.29125503333409869</v>
      </c>
      <c r="N72" s="14">
        <f t="shared" si="18"/>
        <v>0.05</v>
      </c>
      <c r="O72" s="18">
        <f t="shared" si="19"/>
        <v>3082.1890051081396</v>
      </c>
      <c r="P72" s="12">
        <f t="shared" si="20"/>
        <v>7.7247844739549691</v>
      </c>
      <c r="Q72" s="19">
        <f t="shared" si="21"/>
        <v>3182.6112032695573</v>
      </c>
    </row>
    <row r="73" spans="2:17" ht="17.100000000000001" customHeight="1" x14ac:dyDescent="0.3">
      <c r="B73" s="7" t="s">
        <v>51</v>
      </c>
      <c r="C73" s="7" t="s">
        <v>44</v>
      </c>
      <c r="D73" s="12">
        <f>$C$11+135</f>
        <v>3135</v>
      </c>
      <c r="E73" s="9">
        <v>126</v>
      </c>
      <c r="F73" s="10">
        <f t="shared" si="12"/>
        <v>0.46953748006379586</v>
      </c>
      <c r="G73" s="11">
        <f t="shared" si="13"/>
        <v>73.599999999999994</v>
      </c>
      <c r="H73" s="10">
        <f t="shared" si="22"/>
        <v>10.724192515046337</v>
      </c>
      <c r="I73" s="12">
        <f t="shared" si="23"/>
        <v>1657.9000000000003</v>
      </c>
      <c r="J73" s="17">
        <f t="shared" si="14"/>
        <v>3091.8877998020293</v>
      </c>
      <c r="K73" s="12">
        <f t="shared" si="15"/>
        <v>7879.7564653297441</v>
      </c>
      <c r="L73" s="12">
        <f t="shared" si="16"/>
        <v>4004.3372516708328</v>
      </c>
      <c r="M73" s="14">
        <f t="shared" si="17"/>
        <v>0.27730055874667714</v>
      </c>
      <c r="N73" s="14">
        <f t="shared" si="18"/>
        <v>0.05</v>
      </c>
      <c r="O73" s="18">
        <f t="shared" si="19"/>
        <v>3084.1580803025245</v>
      </c>
      <c r="P73" s="12">
        <f t="shared" si="20"/>
        <v>7.7297194995048812</v>
      </c>
      <c r="Q73" s="19">
        <f t="shared" si="21"/>
        <v>3184.6444337960902</v>
      </c>
    </row>
    <row r="74" spans="2:17" ht="17.100000000000001" customHeight="1" x14ac:dyDescent="0.3">
      <c r="B74" s="7" t="s">
        <v>51</v>
      </c>
      <c r="C74" s="7" t="s">
        <v>45</v>
      </c>
      <c r="D74" s="12">
        <f>$C$11+137.5</f>
        <v>3137.5</v>
      </c>
      <c r="E74" s="9">
        <v>130</v>
      </c>
      <c r="F74" s="10">
        <f t="shared" si="12"/>
        <v>0.48382470119521914</v>
      </c>
      <c r="G74" s="11">
        <f t="shared" si="13"/>
        <v>75.900000000000006</v>
      </c>
      <c r="H74" s="10">
        <f t="shared" si="22"/>
        <v>11.208017216241556</v>
      </c>
      <c r="I74" s="12">
        <f t="shared" si="23"/>
        <v>1733.8000000000004</v>
      </c>
      <c r="J74" s="17">
        <f t="shared" si="14"/>
        <v>3093.8567751083538</v>
      </c>
      <c r="K74" s="12">
        <f t="shared" si="15"/>
        <v>7777.0459840421263</v>
      </c>
      <c r="L74" s="12">
        <f t="shared" si="16"/>
        <v>3966.2440274329356</v>
      </c>
      <c r="M74" s="14">
        <f t="shared" si="17"/>
        <v>0.26414152268778823</v>
      </c>
      <c r="N74" s="14">
        <f t="shared" si="18"/>
        <v>0.05</v>
      </c>
      <c r="O74" s="18">
        <f t="shared" si="19"/>
        <v>3086.1221331705829</v>
      </c>
      <c r="P74" s="12">
        <f t="shared" si="20"/>
        <v>7.7346419377709026</v>
      </c>
      <c r="Q74" s="19">
        <f t="shared" si="21"/>
        <v>3186.6724783616046</v>
      </c>
    </row>
    <row r="75" spans="2:17" ht="17.100000000000001" customHeight="1" x14ac:dyDescent="0.3">
      <c r="B75" s="7" t="s">
        <v>51</v>
      </c>
      <c r="C75" s="7" t="s">
        <v>46</v>
      </c>
      <c r="D75" s="12">
        <f>$C$11+140</f>
        <v>3140</v>
      </c>
      <c r="E75" s="9">
        <v>134</v>
      </c>
      <c r="F75" s="10">
        <f t="shared" si="12"/>
        <v>0.49808917197452229</v>
      </c>
      <c r="G75" s="11">
        <f t="shared" si="13"/>
        <v>78.2</v>
      </c>
      <c r="H75" s="10">
        <f t="shared" si="22"/>
        <v>11.706106388216078</v>
      </c>
      <c r="I75" s="12">
        <f t="shared" si="23"/>
        <v>1812.0000000000005</v>
      </c>
      <c r="J75" s="17">
        <f t="shared" si="14"/>
        <v>3095.8201470371832</v>
      </c>
      <c r="K75" s="12">
        <f t="shared" si="15"/>
        <v>7670.8259410015235</v>
      </c>
      <c r="L75" s="12">
        <f t="shared" si="16"/>
        <v>3930.4230393012685</v>
      </c>
      <c r="M75" s="14">
        <f t="shared" si="17"/>
        <v>0.25172708258002185</v>
      </c>
      <c r="N75" s="14">
        <f t="shared" si="18"/>
        <v>0.05</v>
      </c>
      <c r="O75" s="18">
        <f t="shared" si="19"/>
        <v>3088.0805966695902</v>
      </c>
      <c r="P75" s="12">
        <f t="shared" si="20"/>
        <v>7.7395503675929831</v>
      </c>
      <c r="Q75" s="19">
        <f t="shared" si="21"/>
        <v>3188.694751448299</v>
      </c>
    </row>
    <row r="76" spans="2:17" ht="17.100000000000001" customHeight="1" x14ac:dyDescent="0.3">
      <c r="B76" s="7" t="s">
        <v>51</v>
      </c>
      <c r="C76" s="7" t="s">
        <v>47</v>
      </c>
      <c r="D76" s="12">
        <f>$C$11+142.5</f>
        <v>3142.5</v>
      </c>
      <c r="E76" s="9">
        <v>138</v>
      </c>
      <c r="F76" s="10">
        <f t="shared" si="12"/>
        <v>0.51296738265712016</v>
      </c>
      <c r="G76" s="11">
        <f t="shared" si="13"/>
        <v>80.599999999999994</v>
      </c>
      <c r="H76" s="10">
        <f t="shared" si="22"/>
        <v>12.219073770873198</v>
      </c>
      <c r="I76" s="12">
        <f t="shared" si="23"/>
        <v>1892.6000000000004</v>
      </c>
      <c r="J76" s="17">
        <f t="shared" si="14"/>
        <v>3097.7798080103607</v>
      </c>
      <c r="K76" s="12">
        <f t="shared" si="15"/>
        <v>7560.9606750309849</v>
      </c>
      <c r="L76" s="12">
        <f t="shared" si="16"/>
        <v>3896.6889995996921</v>
      </c>
      <c r="M76" s="14">
        <f t="shared" si="17"/>
        <v>0.23999649947484236</v>
      </c>
      <c r="N76" s="14">
        <f t="shared" si="18"/>
        <v>0.05</v>
      </c>
      <c r="O76" s="18">
        <f t="shared" si="19"/>
        <v>3090.0353584903351</v>
      </c>
      <c r="P76" s="12">
        <f t="shared" si="20"/>
        <v>7.7444495200256824</v>
      </c>
      <c r="Q76" s="19">
        <f t="shared" si="21"/>
        <v>3190.7132022506717</v>
      </c>
    </row>
    <row r="77" spans="2:17" ht="17.100000000000001" customHeight="1" x14ac:dyDescent="0.3">
      <c r="B77" s="7" t="s">
        <v>51</v>
      </c>
      <c r="C77" s="7" t="s">
        <v>48</v>
      </c>
      <c r="D77" s="12">
        <f>$C$11+145</f>
        <v>3145</v>
      </c>
      <c r="E77" s="9">
        <v>142</v>
      </c>
      <c r="F77" s="10">
        <f t="shared" si="12"/>
        <v>0.52718600953895067</v>
      </c>
      <c r="G77" s="11">
        <f t="shared" si="13"/>
        <v>82.9</v>
      </c>
      <c r="H77" s="10">
        <f t="shared" si="22"/>
        <v>12.746259780412149</v>
      </c>
      <c r="I77" s="12">
        <f t="shared" si="23"/>
        <v>1975.5000000000005</v>
      </c>
      <c r="J77" s="17">
        <f t="shared" si="14"/>
        <v>3099.7328377628951</v>
      </c>
      <c r="K77" s="12">
        <f t="shared" si="15"/>
        <v>7447.5129906037982</v>
      </c>
      <c r="L77" s="12">
        <f t="shared" si="16"/>
        <v>3864.9519498846175</v>
      </c>
      <c r="M77" s="14">
        <f t="shared" si="17"/>
        <v>0.22891953891402783</v>
      </c>
      <c r="N77" s="14">
        <f t="shared" si="18"/>
        <v>0.05</v>
      </c>
      <c r="O77" s="18">
        <f t="shared" si="19"/>
        <v>3091.9835056684879</v>
      </c>
      <c r="P77" s="12">
        <f t="shared" si="20"/>
        <v>7.7493320944072366</v>
      </c>
      <c r="Q77" s="19">
        <f t="shared" si="21"/>
        <v>3192.7248228957819</v>
      </c>
    </row>
    <row r="78" spans="2:17" ht="17.100000000000001" customHeight="1" x14ac:dyDescent="0.3">
      <c r="B78" s="7" t="s">
        <v>51</v>
      </c>
      <c r="C78" s="7" t="s">
        <v>49</v>
      </c>
      <c r="D78" s="12">
        <f>$C$11+147.5</f>
        <v>3147.5</v>
      </c>
      <c r="E78" s="9">
        <v>146</v>
      </c>
      <c r="F78" s="10">
        <f t="shared" si="12"/>
        <v>0.54138204924543287</v>
      </c>
      <c r="G78" s="11">
        <f t="shared" si="13"/>
        <v>85.2</v>
      </c>
      <c r="H78" s="10">
        <f t="shared" si="22"/>
        <v>13.287641829657582</v>
      </c>
      <c r="I78" s="12">
        <f t="shared" si="23"/>
        <v>2060.7000000000003</v>
      </c>
      <c r="J78" s="17">
        <f t="shared" si="14"/>
        <v>3101.6790284045514</v>
      </c>
      <c r="K78" s="12">
        <f t="shared" si="15"/>
        <v>7330.4473411527651</v>
      </c>
      <c r="L78" s="12">
        <f t="shared" si="16"/>
        <v>3835.0826003121365</v>
      </c>
      <c r="M78" s="14">
        <f t="shared" si="17"/>
        <v>0.21845356642164782</v>
      </c>
      <c r="N78" s="14">
        <f t="shared" si="18"/>
        <v>0.05</v>
      </c>
      <c r="O78" s="18">
        <f t="shared" si="19"/>
        <v>3093.9248308335405</v>
      </c>
      <c r="P78" s="12">
        <f t="shared" si="20"/>
        <v>7.7541975710109909</v>
      </c>
      <c r="Q78" s="19">
        <f t="shared" si="21"/>
        <v>3194.7293992566879</v>
      </c>
    </row>
    <row r="79" spans="2:17" ht="17.100000000000001" customHeight="1" x14ac:dyDescent="0.3">
      <c r="B79" s="7" t="s">
        <v>52</v>
      </c>
      <c r="C79" s="7" t="s">
        <v>30</v>
      </c>
      <c r="D79" s="12">
        <f>$C$11+150</f>
        <v>3150</v>
      </c>
      <c r="E79" s="9">
        <v>148</v>
      </c>
      <c r="F79" s="10">
        <f t="shared" si="12"/>
        <v>0.5485714285714286</v>
      </c>
      <c r="G79" s="11">
        <f t="shared" si="13"/>
        <v>86.4</v>
      </c>
      <c r="H79" s="10">
        <f t="shared" si="22"/>
        <v>13.83621325822901</v>
      </c>
      <c r="I79" s="12">
        <f t="shared" si="23"/>
        <v>2147.1000000000004</v>
      </c>
      <c r="J79" s="17">
        <f t="shared" si="14"/>
        <v>3103.5948346965884</v>
      </c>
      <c r="K79" s="12">
        <f t="shared" si="15"/>
        <v>7210.8282365786263</v>
      </c>
      <c r="L79" s="12">
        <f t="shared" si="16"/>
        <v>3807.2994382219308</v>
      </c>
      <c r="M79" s="14">
        <f t="shared" si="17"/>
        <v>0.20866648832442247</v>
      </c>
      <c r="N79" s="14">
        <f t="shared" si="18"/>
        <v>0.05</v>
      </c>
      <c r="O79" s="18">
        <f t="shared" si="19"/>
        <v>3095.835847609847</v>
      </c>
      <c r="P79" s="12">
        <f t="shared" si="20"/>
        <v>7.7589870867413993</v>
      </c>
      <c r="Q79" s="19">
        <f t="shared" si="21"/>
        <v>3196.7026797374861</v>
      </c>
    </row>
    <row r="80" spans="2:17" ht="17.100000000000001" customHeight="1" x14ac:dyDescent="0.3">
      <c r="B80" s="7" t="s">
        <v>52</v>
      </c>
      <c r="C80" s="7" t="s">
        <v>31</v>
      </c>
      <c r="D80" s="12">
        <f>$C$11+152.5</f>
        <v>3152.5</v>
      </c>
      <c r="E80" s="9">
        <v>156</v>
      </c>
      <c r="F80" s="10">
        <f t="shared" si="12"/>
        <v>0.57795400475812841</v>
      </c>
      <c r="G80" s="11">
        <f t="shared" si="13"/>
        <v>91.1</v>
      </c>
      <c r="H80" s="10">
        <f t="shared" si="22"/>
        <v>14.414167262987139</v>
      </c>
      <c r="I80" s="12">
        <f t="shared" si="23"/>
        <v>2238.2000000000003</v>
      </c>
      <c r="J80" s="17">
        <f t="shared" si="14"/>
        <v>3105.5557482634126</v>
      </c>
      <c r="K80" s="12">
        <f t="shared" si="15"/>
        <v>7085.1377034330544</v>
      </c>
      <c r="L80" s="12">
        <f t="shared" si="16"/>
        <v>3780.4155657664128</v>
      </c>
      <c r="M80" s="14">
        <f t="shared" si="17"/>
        <v>0.19918019532637996</v>
      </c>
      <c r="N80" s="14">
        <f t="shared" si="18"/>
        <v>0.05</v>
      </c>
      <c r="O80" s="18">
        <f t="shared" si="19"/>
        <v>3097.7918588927541</v>
      </c>
      <c r="P80" s="12">
        <f t="shared" si="20"/>
        <v>7.7638893706584895</v>
      </c>
      <c r="Q80" s="19">
        <f t="shared" si="21"/>
        <v>3198.722420711315</v>
      </c>
    </row>
    <row r="81" spans="2:17" ht="17.100000000000001" customHeight="1" x14ac:dyDescent="0.3">
      <c r="B81" s="7" t="s">
        <v>52</v>
      </c>
      <c r="C81" s="7" t="s">
        <v>32</v>
      </c>
      <c r="D81" s="12">
        <f>$C$11+155</f>
        <v>3155</v>
      </c>
      <c r="E81" s="9">
        <v>164</v>
      </c>
      <c r="F81" s="10">
        <f t="shared" si="12"/>
        <v>0.60665610142630744</v>
      </c>
      <c r="G81" s="11">
        <f t="shared" si="13"/>
        <v>95.7</v>
      </c>
      <c r="H81" s="10">
        <f t="shared" si="22"/>
        <v>15.020823364413445</v>
      </c>
      <c r="I81" s="12">
        <f t="shared" si="23"/>
        <v>2333.9</v>
      </c>
      <c r="J81" s="17">
        <f t="shared" si="14"/>
        <v>3107.5526865316247</v>
      </c>
      <c r="K81" s="12">
        <f t="shared" si="15"/>
        <v>6953.4022852755788</v>
      </c>
      <c r="L81" s="12">
        <f t="shared" si="16"/>
        <v>3754.5225406290338</v>
      </c>
      <c r="M81" s="14">
        <f t="shared" si="17"/>
        <v>0.19002299227544653</v>
      </c>
      <c r="N81" s="14">
        <f t="shared" si="18"/>
        <v>0.05</v>
      </c>
      <c r="O81" s="18">
        <f t="shared" si="19"/>
        <v>3099.7838048152958</v>
      </c>
      <c r="P81" s="12">
        <f t="shared" si="20"/>
        <v>7.7688817163289059</v>
      </c>
      <c r="Q81" s="19">
        <f t="shared" si="21"/>
        <v>3200.7792671275733</v>
      </c>
    </row>
    <row r="82" spans="2:17" ht="17.100000000000001" customHeight="1" x14ac:dyDescent="0.3">
      <c r="B82" s="7" t="s">
        <v>52</v>
      </c>
      <c r="C82" s="7" t="s">
        <v>33</v>
      </c>
      <c r="D82" s="12">
        <f>$C$11+157.5</f>
        <v>3157.5</v>
      </c>
      <c r="E82" s="9">
        <v>172</v>
      </c>
      <c r="F82" s="10">
        <f t="shared" si="12"/>
        <v>0.63594615993665871</v>
      </c>
      <c r="G82" s="11">
        <f t="shared" si="13"/>
        <v>100.4</v>
      </c>
      <c r="H82" s="10">
        <f t="shared" si="22"/>
        <v>15.656769524350103</v>
      </c>
      <c r="I82" s="12">
        <f t="shared" si="23"/>
        <v>2434.3000000000002</v>
      </c>
      <c r="J82" s="17">
        <f t="shared" si="14"/>
        <v>3109.5814449003269</v>
      </c>
      <c r="K82" s="12">
        <f t="shared" si="15"/>
        <v>6815.4502268645474</v>
      </c>
      <c r="L82" s="12">
        <f t="shared" si="16"/>
        <v>3729.6346324782571</v>
      </c>
      <c r="M82" s="14">
        <f t="shared" si="17"/>
        <v>0.1811986167785454</v>
      </c>
      <c r="N82" s="14">
        <f t="shared" si="18"/>
        <v>0.05</v>
      </c>
      <c r="O82" s="18">
        <f t="shared" si="19"/>
        <v>3101.8074912880761</v>
      </c>
      <c r="P82" s="12">
        <f t="shared" si="20"/>
        <v>7.7739536122508071</v>
      </c>
      <c r="Q82" s="19">
        <f t="shared" si="21"/>
        <v>3202.8688882473366</v>
      </c>
    </row>
    <row r="83" spans="2:17" ht="17.100000000000001" customHeight="1" x14ac:dyDescent="0.3">
      <c r="B83" s="7" t="s">
        <v>52</v>
      </c>
      <c r="C83" s="7" t="s">
        <v>34</v>
      </c>
      <c r="D83" s="12">
        <f>$C$11+160</f>
        <v>3160</v>
      </c>
      <c r="E83" s="9">
        <v>180</v>
      </c>
      <c r="F83" s="10">
        <f t="shared" ref="F83:F114" si="24">(G83*$C$13)/D83</f>
        <v>0.66518987341772151</v>
      </c>
      <c r="G83" s="11">
        <f t="shared" ref="G83:G118" si="25">ROUND($C$12*E83/SUM($E$19:$E$118), 1)</f>
        <v>105.1</v>
      </c>
      <c r="H83" s="10">
        <f t="shared" si="22"/>
        <v>16.321959397767824</v>
      </c>
      <c r="I83" s="12">
        <f t="shared" si="23"/>
        <v>2539.4</v>
      </c>
      <c r="J83" s="17">
        <f t="shared" ref="J83:J114" si="26">I83*$C$13/H83</f>
        <v>3111.6362173370999</v>
      </c>
      <c r="K83" s="12">
        <f t="shared" ref="K83:K114" si="27">$C$12-I83+H83*(J83-D83)</f>
        <v>6671.2083030536769</v>
      </c>
      <c r="L83" s="12">
        <f t="shared" ref="L83:L118" si="28">(J83*H83+$C$12)/(H83*(1+$C$14))</f>
        <v>3705.7788630190717</v>
      </c>
      <c r="M83" s="14">
        <f t="shared" ref="M83:M114" si="29">(L83-D83)/D83</f>
        <v>0.17271483006932647</v>
      </c>
      <c r="N83" s="14">
        <f t="shared" ref="N83:N118" si="30">IF(OR(B83="1차",B83="2차"),0.1,IF(OR(B83="3차",B83="4차"),0.05,0.02))</f>
        <v>0.05</v>
      </c>
      <c r="O83" s="18">
        <f t="shared" ref="O83:O114" si="31">J83*(1-N83/$C$13)</f>
        <v>3103.8571267937573</v>
      </c>
      <c r="P83" s="12">
        <f t="shared" ref="P83:P114" si="32">J83-O83</f>
        <v>7.7790905433425905</v>
      </c>
      <c r="Q83" s="19">
        <f t="shared" ref="Q83:Q118" si="33">J83*(1+$C$15)</f>
        <v>3204.9853038572128</v>
      </c>
    </row>
    <row r="84" spans="2:17" ht="17.100000000000001" customHeight="1" x14ac:dyDescent="0.3">
      <c r="B84" s="7" t="s">
        <v>52</v>
      </c>
      <c r="C84" s="7" t="s">
        <v>35</v>
      </c>
      <c r="D84" s="12">
        <f>$C$11+162.5</f>
        <v>3162.5</v>
      </c>
      <c r="E84" s="9">
        <v>188</v>
      </c>
      <c r="F84" s="10">
        <f t="shared" si="24"/>
        <v>0.69375494071146249</v>
      </c>
      <c r="G84" s="11">
        <f t="shared" si="25"/>
        <v>109.7</v>
      </c>
      <c r="H84" s="10">
        <f t="shared" ref="H84:H118" si="34">H83+F84</f>
        <v>17.015714338479285</v>
      </c>
      <c r="I84" s="12">
        <f t="shared" ref="I84:I118" si="35">I83+G84</f>
        <v>2649.1</v>
      </c>
      <c r="J84" s="17">
        <f t="shared" si="26"/>
        <v>3113.7100062961604</v>
      </c>
      <c r="K84" s="12">
        <f t="shared" si="27"/>
        <v>6520.7034045592618</v>
      </c>
      <c r="L84" s="12">
        <f t="shared" si="28"/>
        <v>3682.9871182486418</v>
      </c>
      <c r="M84" s="14">
        <f t="shared" si="29"/>
        <v>0.16458090695609226</v>
      </c>
      <c r="N84" s="14">
        <f t="shared" si="30"/>
        <v>0.05</v>
      </c>
      <c r="O84" s="18">
        <f t="shared" si="31"/>
        <v>3105.9257312804202</v>
      </c>
      <c r="P84" s="12">
        <f t="shared" si="32"/>
        <v>7.7842750157401497</v>
      </c>
      <c r="Q84" s="19">
        <f t="shared" si="33"/>
        <v>3207.1213064850454</v>
      </c>
    </row>
    <row r="85" spans="2:17" ht="17.100000000000001" customHeight="1" x14ac:dyDescent="0.3">
      <c r="B85" s="7" t="s">
        <v>52</v>
      </c>
      <c r="C85" s="7" t="s">
        <v>36</v>
      </c>
      <c r="D85" s="12">
        <f>$C$11+165</f>
        <v>3165</v>
      </c>
      <c r="E85" s="9">
        <v>196</v>
      </c>
      <c r="F85" s="10">
        <f t="shared" si="24"/>
        <v>0.7229067930489731</v>
      </c>
      <c r="G85" s="11">
        <f t="shared" si="25"/>
        <v>114.4</v>
      </c>
      <c r="H85" s="10">
        <f t="shared" si="34"/>
        <v>17.738621131528259</v>
      </c>
      <c r="I85" s="12">
        <f t="shared" si="35"/>
        <v>2763.5</v>
      </c>
      <c r="J85" s="17">
        <f t="shared" si="26"/>
        <v>3115.8002411903508</v>
      </c>
      <c r="K85" s="12">
        <f t="shared" si="27"/>
        <v>6363.764118713063</v>
      </c>
      <c r="L85" s="12">
        <f t="shared" si="28"/>
        <v>3661.2357381267034</v>
      </c>
      <c r="M85" s="14">
        <f t="shared" si="29"/>
        <v>0.15678854285203897</v>
      </c>
      <c r="N85" s="14">
        <f t="shared" si="30"/>
        <v>0.05</v>
      </c>
      <c r="O85" s="18">
        <f t="shared" si="31"/>
        <v>3108.010740587375</v>
      </c>
      <c r="P85" s="12">
        <f t="shared" si="32"/>
        <v>7.7895006029757496</v>
      </c>
      <c r="Q85" s="19">
        <f t="shared" si="33"/>
        <v>3209.2742484260616</v>
      </c>
    </row>
    <row r="86" spans="2:17" ht="17.100000000000001" customHeight="1" x14ac:dyDescent="0.3">
      <c r="B86" s="7" t="s">
        <v>52</v>
      </c>
      <c r="C86" s="7" t="s">
        <v>37</v>
      </c>
      <c r="D86" s="12">
        <f>$C$11+167.5</f>
        <v>3167.5</v>
      </c>
      <c r="E86" s="9">
        <v>204</v>
      </c>
      <c r="F86" s="10">
        <f t="shared" si="24"/>
        <v>0.75201262825572213</v>
      </c>
      <c r="G86" s="11">
        <f t="shared" si="25"/>
        <v>119.1</v>
      </c>
      <c r="H86" s="10">
        <f t="shared" si="34"/>
        <v>18.490633759783982</v>
      </c>
      <c r="I86" s="12">
        <f t="shared" si="35"/>
        <v>2882.6</v>
      </c>
      <c r="J86" s="17">
        <f t="shared" si="26"/>
        <v>3117.9028663360168</v>
      </c>
      <c r="K86" s="12">
        <f t="shared" si="27"/>
        <v>6200.3175658842338</v>
      </c>
      <c r="L86" s="12">
        <f t="shared" si="28"/>
        <v>3640.5146389292045</v>
      </c>
      <c r="M86" s="14">
        <f t="shared" si="29"/>
        <v>0.14933374551829659</v>
      </c>
      <c r="N86" s="14">
        <f t="shared" si="30"/>
        <v>0.05</v>
      </c>
      <c r="O86" s="18">
        <f t="shared" si="31"/>
        <v>3110.1081091701772</v>
      </c>
      <c r="P86" s="12">
        <f t="shared" si="32"/>
        <v>7.7947571658396555</v>
      </c>
      <c r="Q86" s="19">
        <f t="shared" si="33"/>
        <v>3211.4399523260972</v>
      </c>
    </row>
    <row r="87" spans="2:17" ht="17.100000000000001" customHeight="1" x14ac:dyDescent="0.3">
      <c r="B87" s="7" t="s">
        <v>52</v>
      </c>
      <c r="C87" s="7" t="s">
        <v>38</v>
      </c>
      <c r="D87" s="12">
        <f>$C$11+170</f>
        <v>3170</v>
      </c>
      <c r="E87" s="9">
        <v>212</v>
      </c>
      <c r="F87" s="10">
        <f t="shared" si="24"/>
        <v>0.78107255520504737</v>
      </c>
      <c r="G87" s="11">
        <f t="shared" si="25"/>
        <v>123.8</v>
      </c>
      <c r="H87" s="10">
        <f t="shared" si="34"/>
        <v>19.271706314989029</v>
      </c>
      <c r="I87" s="12">
        <f t="shared" si="35"/>
        <v>3006.4</v>
      </c>
      <c r="J87" s="17">
        <f t="shared" si="26"/>
        <v>3120.0143369367361</v>
      </c>
      <c r="K87" s="12">
        <f t="shared" si="27"/>
        <v>6030.2909814847826</v>
      </c>
      <c r="L87" s="12">
        <f t="shared" si="28"/>
        <v>3620.8057209412532</v>
      </c>
      <c r="M87" s="14">
        <f t="shared" si="29"/>
        <v>0.14221000660607355</v>
      </c>
      <c r="N87" s="14">
        <f t="shared" si="30"/>
        <v>0.05</v>
      </c>
      <c r="O87" s="18">
        <f t="shared" si="31"/>
        <v>3112.2143010943946</v>
      </c>
      <c r="P87" s="12">
        <f t="shared" si="32"/>
        <v>7.8000358423414582</v>
      </c>
      <c r="Q87" s="19">
        <f t="shared" si="33"/>
        <v>3213.6147670448381</v>
      </c>
    </row>
    <row r="88" spans="2:17" ht="17.100000000000001" customHeight="1" x14ac:dyDescent="0.3">
      <c r="B88" s="7" t="s">
        <v>52</v>
      </c>
      <c r="C88" s="7" t="s">
        <v>39</v>
      </c>
      <c r="D88" s="12">
        <f>$C$11+172.5</f>
        <v>3172.5</v>
      </c>
      <c r="E88" s="9">
        <v>220</v>
      </c>
      <c r="F88" s="10">
        <f t="shared" si="24"/>
        <v>0.80945626477541366</v>
      </c>
      <c r="G88" s="11">
        <f t="shared" si="25"/>
        <v>128.4</v>
      </c>
      <c r="H88" s="10">
        <f t="shared" si="34"/>
        <v>20.081162579764442</v>
      </c>
      <c r="I88" s="12">
        <f t="shared" si="35"/>
        <v>3134.8</v>
      </c>
      <c r="J88" s="17">
        <f t="shared" si="26"/>
        <v>3122.1299937672952</v>
      </c>
      <c r="K88" s="12">
        <f t="shared" si="27"/>
        <v>5853.7117156973072</v>
      </c>
      <c r="L88" s="12">
        <f t="shared" si="28"/>
        <v>3602.0986370131495</v>
      </c>
      <c r="M88" s="14">
        <f t="shared" si="29"/>
        <v>0.13541328195843957</v>
      </c>
      <c r="N88" s="14">
        <f t="shared" si="30"/>
        <v>0.05</v>
      </c>
      <c r="O88" s="18">
        <f t="shared" si="31"/>
        <v>3114.3246687828773</v>
      </c>
      <c r="P88" s="12">
        <f t="shared" si="32"/>
        <v>7.8053249844178936</v>
      </c>
      <c r="Q88" s="19">
        <f t="shared" si="33"/>
        <v>3215.793893580314</v>
      </c>
    </row>
    <row r="89" spans="2:17" ht="17.100000000000001" customHeight="1" x14ac:dyDescent="0.3">
      <c r="B89" s="7" t="s">
        <v>52</v>
      </c>
      <c r="C89" s="7" t="s">
        <v>40</v>
      </c>
      <c r="D89" s="12">
        <f>$C$11+175</f>
        <v>3175</v>
      </c>
      <c r="E89" s="9">
        <v>228</v>
      </c>
      <c r="F89" s="10">
        <f t="shared" si="24"/>
        <v>0.83842519685039374</v>
      </c>
      <c r="G89" s="11">
        <f t="shared" si="25"/>
        <v>133.1</v>
      </c>
      <c r="H89" s="10">
        <f t="shared" si="34"/>
        <v>20.919587776614836</v>
      </c>
      <c r="I89" s="12">
        <f t="shared" si="35"/>
        <v>3267.9</v>
      </c>
      <c r="J89" s="17">
        <f t="shared" si="26"/>
        <v>3124.2489430437568</v>
      </c>
      <c r="K89" s="12">
        <f t="shared" si="27"/>
        <v>5670.4088092478905</v>
      </c>
      <c r="L89" s="12">
        <f t="shared" si="28"/>
        <v>3584.3480941309467</v>
      </c>
      <c r="M89" s="14">
        <f t="shared" si="29"/>
        <v>0.12892853358455014</v>
      </c>
      <c r="N89" s="14">
        <f t="shared" si="30"/>
        <v>0.05</v>
      </c>
      <c r="O89" s="18">
        <f t="shared" si="31"/>
        <v>3116.4383206861476</v>
      </c>
      <c r="P89" s="12">
        <f t="shared" si="32"/>
        <v>7.8106223576091907</v>
      </c>
      <c r="Q89" s="19">
        <f t="shared" si="33"/>
        <v>3217.9764113350693</v>
      </c>
    </row>
    <row r="90" spans="2:17" ht="17.100000000000001" customHeight="1" x14ac:dyDescent="0.3">
      <c r="B90" s="7" t="s">
        <v>52</v>
      </c>
      <c r="C90" s="7" t="s">
        <v>41</v>
      </c>
      <c r="D90" s="12">
        <f>$C$11+177.5</f>
        <v>3177.5</v>
      </c>
      <c r="E90" s="9">
        <v>236</v>
      </c>
      <c r="F90" s="10">
        <f t="shared" si="24"/>
        <v>0.86734854445318643</v>
      </c>
      <c r="G90" s="11">
        <f t="shared" si="25"/>
        <v>137.80000000000001</v>
      </c>
      <c r="H90" s="10">
        <f t="shared" si="34"/>
        <v>21.786936321068023</v>
      </c>
      <c r="I90" s="12">
        <f t="shared" si="35"/>
        <v>3405.7000000000003</v>
      </c>
      <c r="J90" s="17">
        <f t="shared" si="26"/>
        <v>3126.3688935526739</v>
      </c>
      <c r="K90" s="12">
        <f t="shared" si="27"/>
        <v>5480.3098398063539</v>
      </c>
      <c r="L90" s="12">
        <f t="shared" si="28"/>
        <v>3567.5219309824547</v>
      </c>
      <c r="M90" s="14">
        <f t="shared" si="29"/>
        <v>0.12274490353499755</v>
      </c>
      <c r="N90" s="14">
        <f t="shared" si="30"/>
        <v>0.05</v>
      </c>
      <c r="O90" s="18">
        <f t="shared" si="31"/>
        <v>3118.5529713187925</v>
      </c>
      <c r="P90" s="12">
        <f t="shared" si="32"/>
        <v>7.8159222338813379</v>
      </c>
      <c r="Q90" s="19">
        <f t="shared" si="33"/>
        <v>3220.159960359254</v>
      </c>
    </row>
    <row r="91" spans="2:17" ht="17.100000000000001" customHeight="1" x14ac:dyDescent="0.3">
      <c r="B91" s="7" t="s">
        <v>52</v>
      </c>
      <c r="C91" s="7" t="s">
        <v>42</v>
      </c>
      <c r="D91" s="12">
        <f>$C$11+180</f>
        <v>3180</v>
      </c>
      <c r="E91" s="9">
        <v>244</v>
      </c>
      <c r="F91" s="10">
        <f t="shared" si="24"/>
        <v>0.89559748427672958</v>
      </c>
      <c r="G91" s="11">
        <f t="shared" si="25"/>
        <v>142.4</v>
      </c>
      <c r="H91" s="10">
        <f t="shared" si="34"/>
        <v>22.682533805344754</v>
      </c>
      <c r="I91" s="12">
        <f t="shared" si="35"/>
        <v>3548.1000000000004</v>
      </c>
      <c r="J91" s="17">
        <f t="shared" si="26"/>
        <v>3128.4864649150886</v>
      </c>
      <c r="K91" s="12">
        <f t="shared" si="27"/>
        <v>5283.4424990036841</v>
      </c>
      <c r="L91" s="12">
        <f t="shared" si="28"/>
        <v>3551.596337139244</v>
      </c>
      <c r="M91" s="14">
        <f t="shared" si="29"/>
        <v>0.11685419406894466</v>
      </c>
      <c r="N91" s="14">
        <f t="shared" si="30"/>
        <v>0.05</v>
      </c>
      <c r="O91" s="18">
        <f t="shared" si="31"/>
        <v>3120.6652487528013</v>
      </c>
      <c r="P91" s="12">
        <f t="shared" si="32"/>
        <v>7.8212161622873282</v>
      </c>
      <c r="Q91" s="19">
        <f t="shared" si="33"/>
        <v>3222.3410588625416</v>
      </c>
    </row>
    <row r="92" spans="2:17" ht="17.100000000000001" customHeight="1" x14ac:dyDescent="0.3">
      <c r="B92" s="7" t="s">
        <v>52</v>
      </c>
      <c r="C92" s="7" t="s">
        <v>43</v>
      </c>
      <c r="D92" s="12">
        <f>$C$11+182.5</f>
        <v>3182.5</v>
      </c>
      <c r="E92" s="9">
        <v>252</v>
      </c>
      <c r="F92" s="10">
        <f t="shared" si="24"/>
        <v>0.92443047918303223</v>
      </c>
      <c r="G92" s="11">
        <f t="shared" si="25"/>
        <v>147.1</v>
      </c>
      <c r="H92" s="10">
        <f t="shared" si="34"/>
        <v>23.606964284527788</v>
      </c>
      <c r="I92" s="12">
        <f t="shared" si="35"/>
        <v>3695.2000000000003</v>
      </c>
      <c r="J92" s="17">
        <f t="shared" si="26"/>
        <v>3130.6015932102432</v>
      </c>
      <c r="K92" s="12">
        <f t="shared" si="27"/>
        <v>5079.6361644903163</v>
      </c>
      <c r="L92" s="12">
        <f t="shared" si="28"/>
        <v>3536.5227886965945</v>
      </c>
      <c r="M92" s="14">
        <f t="shared" si="29"/>
        <v>0.11124046777583488</v>
      </c>
      <c r="N92" s="14">
        <f t="shared" si="30"/>
        <v>0.05</v>
      </c>
      <c r="O92" s="18">
        <f t="shared" si="31"/>
        <v>3122.7750892272179</v>
      </c>
      <c r="P92" s="12">
        <f t="shared" si="32"/>
        <v>7.8265039830253045</v>
      </c>
      <c r="Q92" s="19">
        <f t="shared" si="33"/>
        <v>3224.5196410065505</v>
      </c>
    </row>
    <row r="93" spans="2:17" ht="17.100000000000001" customHeight="1" x14ac:dyDescent="0.3">
      <c r="B93" s="7" t="s">
        <v>52</v>
      </c>
      <c r="C93" s="7" t="s">
        <v>44</v>
      </c>
      <c r="D93" s="12">
        <f>$C$11+185</f>
        <v>3185</v>
      </c>
      <c r="E93" s="9">
        <v>260</v>
      </c>
      <c r="F93" s="10">
        <f t="shared" si="24"/>
        <v>0.95321821036106746</v>
      </c>
      <c r="G93" s="11">
        <f t="shared" si="25"/>
        <v>151.80000000000001</v>
      </c>
      <c r="H93" s="10">
        <f t="shared" si="34"/>
        <v>24.560182494888856</v>
      </c>
      <c r="I93" s="12">
        <f t="shared" si="35"/>
        <v>3847.0000000000005</v>
      </c>
      <c r="J93" s="17">
        <f t="shared" si="26"/>
        <v>3132.7128784980227</v>
      </c>
      <c r="K93" s="12">
        <f t="shared" si="27"/>
        <v>4868.8187537790118</v>
      </c>
      <c r="L93" s="12">
        <f t="shared" si="28"/>
        <v>3522.2646535533677</v>
      </c>
      <c r="M93" s="14">
        <f t="shared" si="29"/>
        <v>0.10589157097436976</v>
      </c>
      <c r="N93" s="14">
        <f t="shared" si="30"/>
        <v>0.05</v>
      </c>
      <c r="O93" s="18">
        <f t="shared" si="31"/>
        <v>3124.8810963017777</v>
      </c>
      <c r="P93" s="12">
        <f t="shared" si="32"/>
        <v>7.831782196245058</v>
      </c>
      <c r="Q93" s="19">
        <f t="shared" si="33"/>
        <v>3226.6942648529634</v>
      </c>
    </row>
    <row r="94" spans="2:17" ht="17.100000000000001" customHeight="1" x14ac:dyDescent="0.3">
      <c r="B94" s="7" t="s">
        <v>52</v>
      </c>
      <c r="C94" s="7" t="s">
        <v>45</v>
      </c>
      <c r="D94" s="12">
        <f>$C$11+187.5</f>
        <v>3187.5</v>
      </c>
      <c r="E94" s="9">
        <v>268</v>
      </c>
      <c r="F94" s="10">
        <f t="shared" si="24"/>
        <v>0.98196078431372547</v>
      </c>
      <c r="G94" s="11">
        <f t="shared" si="25"/>
        <v>156.5</v>
      </c>
      <c r="H94" s="10">
        <f t="shared" si="34"/>
        <v>25.54214327920258</v>
      </c>
      <c r="I94" s="12">
        <f t="shared" si="35"/>
        <v>4003.5000000000005</v>
      </c>
      <c r="J94" s="17">
        <f t="shared" si="26"/>
        <v>3134.8191545537279</v>
      </c>
      <c r="K94" s="12">
        <f t="shared" si="27"/>
        <v>4650.9182975417916</v>
      </c>
      <c r="L94" s="12">
        <f t="shared" si="28"/>
        <v>3508.7850525150479</v>
      </c>
      <c r="M94" s="14">
        <f t="shared" si="29"/>
        <v>0.10079531059295621</v>
      </c>
      <c r="N94" s="14">
        <f t="shared" si="30"/>
        <v>0.05</v>
      </c>
      <c r="O94" s="18">
        <f t="shared" si="31"/>
        <v>3126.9821066673439</v>
      </c>
      <c r="P94" s="12">
        <f t="shared" si="32"/>
        <v>7.8370478863839708</v>
      </c>
      <c r="Q94" s="19">
        <f t="shared" si="33"/>
        <v>3228.8637291903397</v>
      </c>
    </row>
    <row r="95" spans="2:17" ht="17.100000000000001" customHeight="1" x14ac:dyDescent="0.3">
      <c r="B95" s="7" t="s">
        <v>52</v>
      </c>
      <c r="C95" s="7" t="s">
        <v>46</v>
      </c>
      <c r="D95" s="12">
        <f>$C$11+190</f>
        <v>3190</v>
      </c>
      <c r="E95" s="9">
        <v>276</v>
      </c>
      <c r="F95" s="10">
        <f t="shared" si="24"/>
        <v>1.0100313479623824</v>
      </c>
      <c r="G95" s="11">
        <f t="shared" si="25"/>
        <v>161.1</v>
      </c>
      <c r="H95" s="10">
        <f t="shared" si="34"/>
        <v>26.552174627164963</v>
      </c>
      <c r="I95" s="12">
        <f t="shared" si="35"/>
        <v>4164.6000000000004</v>
      </c>
      <c r="J95" s="17">
        <f t="shared" si="26"/>
        <v>3136.9182061188212</v>
      </c>
      <c r="K95" s="12">
        <f t="shared" si="27"/>
        <v>4425.9629393437644</v>
      </c>
      <c r="L95" s="12">
        <f t="shared" si="28"/>
        <v>3496.0549182870777</v>
      </c>
      <c r="M95" s="14">
        <f t="shared" si="29"/>
        <v>9.594198065425634E-2</v>
      </c>
      <c r="N95" s="14">
        <f t="shared" si="30"/>
        <v>0.05</v>
      </c>
      <c r="O95" s="18">
        <f t="shared" si="31"/>
        <v>3129.0759106035243</v>
      </c>
      <c r="P95" s="12">
        <f t="shared" si="32"/>
        <v>7.8422955152968825</v>
      </c>
      <c r="Q95" s="19">
        <f t="shared" si="33"/>
        <v>3231.0257523023861</v>
      </c>
    </row>
    <row r="96" spans="2:17" ht="17.100000000000001" customHeight="1" x14ac:dyDescent="0.3">
      <c r="B96" s="7" t="s">
        <v>52</v>
      </c>
      <c r="C96" s="7" t="s">
        <v>47</v>
      </c>
      <c r="D96" s="12">
        <f>$C$11+192.5</f>
        <v>3192.5</v>
      </c>
      <c r="E96" s="9">
        <v>284</v>
      </c>
      <c r="F96" s="10">
        <f t="shared" si="24"/>
        <v>1.0386844166014095</v>
      </c>
      <c r="G96" s="11">
        <f t="shared" si="25"/>
        <v>165.8</v>
      </c>
      <c r="H96" s="10">
        <f t="shared" si="34"/>
        <v>27.590859043766372</v>
      </c>
      <c r="I96" s="12">
        <f t="shared" si="35"/>
        <v>4330.4000000000005</v>
      </c>
      <c r="J96" s="17">
        <f t="shared" si="26"/>
        <v>3139.0106361899393</v>
      </c>
      <c r="K96" s="12">
        <f t="shared" si="27"/>
        <v>4193.7825027758763</v>
      </c>
      <c r="L96" s="12">
        <f t="shared" si="28"/>
        <v>3484.0293675378612</v>
      </c>
      <c r="M96" s="14">
        <f t="shared" si="29"/>
        <v>9.1316951460567314E-2</v>
      </c>
      <c r="N96" s="14">
        <f t="shared" si="30"/>
        <v>0.05</v>
      </c>
      <c r="O96" s="18">
        <f t="shared" si="31"/>
        <v>3131.1631095994644</v>
      </c>
      <c r="P96" s="12">
        <f t="shared" si="32"/>
        <v>7.8475265904748994</v>
      </c>
      <c r="Q96" s="19">
        <f t="shared" si="33"/>
        <v>3233.1809552756376</v>
      </c>
    </row>
    <row r="97" spans="2:17" ht="17.100000000000001" customHeight="1" x14ac:dyDescent="0.3">
      <c r="B97" s="7" t="s">
        <v>52</v>
      </c>
      <c r="C97" s="7" t="s">
        <v>48</v>
      </c>
      <c r="D97" s="12">
        <f>$C$11+195</f>
        <v>3195</v>
      </c>
      <c r="E97" s="9">
        <v>292</v>
      </c>
      <c r="F97" s="10">
        <f t="shared" si="24"/>
        <v>1.0672926447574336</v>
      </c>
      <c r="G97" s="11">
        <f t="shared" si="25"/>
        <v>170.5</v>
      </c>
      <c r="H97" s="10">
        <f t="shared" si="34"/>
        <v>28.658151688523805</v>
      </c>
      <c r="I97" s="12">
        <f t="shared" si="35"/>
        <v>4500.9000000000005</v>
      </c>
      <c r="J97" s="17">
        <f t="shared" si="26"/>
        <v>3141.0958033294187</v>
      </c>
      <c r="K97" s="12">
        <f t="shared" si="27"/>
        <v>3954.3053551664602</v>
      </c>
      <c r="L97" s="12">
        <f t="shared" si="28"/>
        <v>3472.6732935049454</v>
      </c>
      <c r="M97" s="14">
        <f t="shared" si="29"/>
        <v>8.690869906258071E-2</v>
      </c>
      <c r="N97" s="14">
        <f t="shared" si="30"/>
        <v>0.05</v>
      </c>
      <c r="O97" s="18">
        <f t="shared" si="31"/>
        <v>3133.2430638210953</v>
      </c>
      <c r="P97" s="12">
        <f t="shared" si="32"/>
        <v>7.8527395083233387</v>
      </c>
      <c r="Q97" s="19">
        <f t="shared" si="33"/>
        <v>3235.3286774293015</v>
      </c>
    </row>
    <row r="98" spans="2:17" ht="17.100000000000001" customHeight="1" x14ac:dyDescent="0.3">
      <c r="B98" s="7" t="s">
        <v>52</v>
      </c>
      <c r="C98" s="7" t="s">
        <v>49</v>
      </c>
      <c r="D98" s="12">
        <f>$C$11+197.5</f>
        <v>3197.5</v>
      </c>
      <c r="E98" s="9">
        <v>300</v>
      </c>
      <c r="F98" s="10">
        <f t="shared" si="24"/>
        <v>1.0952306489444879</v>
      </c>
      <c r="G98" s="11">
        <f t="shared" si="25"/>
        <v>175.1</v>
      </c>
      <c r="H98" s="10">
        <f t="shared" si="34"/>
        <v>29.753382337468292</v>
      </c>
      <c r="I98" s="12">
        <f t="shared" si="35"/>
        <v>4676.0000000000009</v>
      </c>
      <c r="J98" s="17">
        <f t="shared" si="26"/>
        <v>3143.1720581975892</v>
      </c>
      <c r="K98" s="12">
        <f t="shared" si="27"/>
        <v>3707.5599759451443</v>
      </c>
      <c r="L98" s="12">
        <f t="shared" si="28"/>
        <v>3461.9585079799299</v>
      </c>
      <c r="M98" s="14">
        <f t="shared" si="29"/>
        <v>8.2707899290048445E-2</v>
      </c>
      <c r="N98" s="14">
        <f t="shared" si="30"/>
        <v>0.05</v>
      </c>
      <c r="O98" s="18">
        <f t="shared" si="31"/>
        <v>3135.3141280520954</v>
      </c>
      <c r="P98" s="12">
        <f t="shared" si="32"/>
        <v>7.8579301454938104</v>
      </c>
      <c r="Q98" s="19">
        <f t="shared" si="33"/>
        <v>3237.4672199435167</v>
      </c>
    </row>
    <row r="99" spans="2:17" ht="17.100000000000001" customHeight="1" x14ac:dyDescent="0.3">
      <c r="B99" s="7" t="s">
        <v>53</v>
      </c>
      <c r="C99" s="7" t="s">
        <v>30</v>
      </c>
      <c r="D99" s="12">
        <f>$C$11+200</f>
        <v>3200</v>
      </c>
      <c r="E99" s="9">
        <v>304</v>
      </c>
      <c r="F99" s="10">
        <f t="shared" si="24"/>
        <v>1.109375</v>
      </c>
      <c r="G99" s="11">
        <f t="shared" si="25"/>
        <v>177.5</v>
      </c>
      <c r="H99" s="10">
        <f t="shared" si="34"/>
        <v>30.862757337468292</v>
      </c>
      <c r="I99" s="12">
        <f t="shared" si="35"/>
        <v>4853.5000000000009</v>
      </c>
      <c r="J99" s="17">
        <f t="shared" si="26"/>
        <v>3145.2147628479775</v>
      </c>
      <c r="K99" s="12">
        <f t="shared" si="27"/>
        <v>3455.676520101475</v>
      </c>
      <c r="L99" s="12">
        <f t="shared" si="28"/>
        <v>3451.9700319678313</v>
      </c>
      <c r="M99" s="14">
        <f t="shared" si="29"/>
        <v>7.8740634989947295E-2</v>
      </c>
      <c r="N99" s="14">
        <f t="shared" si="30"/>
        <v>0.02</v>
      </c>
      <c r="O99" s="18">
        <f t="shared" si="31"/>
        <v>3142.0695480851296</v>
      </c>
      <c r="P99" s="12">
        <f t="shared" si="32"/>
        <v>3.1452147628478997</v>
      </c>
      <c r="Q99" s="19">
        <f t="shared" si="33"/>
        <v>3239.5712057334167</v>
      </c>
    </row>
    <row r="100" spans="2:17" ht="17.100000000000001" customHeight="1" x14ac:dyDescent="0.3">
      <c r="B100" s="7" t="s">
        <v>53</v>
      </c>
      <c r="C100" s="7" t="s">
        <v>31</v>
      </c>
      <c r="D100" s="12">
        <f>$C$11+202.5</f>
        <v>3202.5</v>
      </c>
      <c r="E100" s="9">
        <v>320</v>
      </c>
      <c r="F100" s="10">
        <f t="shared" si="24"/>
        <v>1.1665886026541765</v>
      </c>
      <c r="G100" s="11">
        <f t="shared" si="25"/>
        <v>186.8</v>
      </c>
      <c r="H100" s="10">
        <f t="shared" si="34"/>
        <v>32.029345940122468</v>
      </c>
      <c r="I100" s="12">
        <f t="shared" si="35"/>
        <v>5040.3000000000011</v>
      </c>
      <c r="J100" s="17">
        <f t="shared" si="26"/>
        <v>3147.3012339512852</v>
      </c>
      <c r="K100" s="12">
        <f t="shared" si="27"/>
        <v>3191.7196267578261</v>
      </c>
      <c r="L100" s="12">
        <f t="shared" si="28"/>
        <v>3442.3033980861142</v>
      </c>
      <c r="M100" s="14">
        <f t="shared" si="29"/>
        <v>7.488006185358756E-2</v>
      </c>
      <c r="N100" s="14">
        <f t="shared" si="30"/>
        <v>0.02</v>
      </c>
      <c r="O100" s="18">
        <f t="shared" si="31"/>
        <v>3144.1539327173341</v>
      </c>
      <c r="P100" s="12">
        <f t="shared" si="32"/>
        <v>3.1473012339511115</v>
      </c>
      <c r="Q100" s="19">
        <f t="shared" si="33"/>
        <v>3241.720270969824</v>
      </c>
    </row>
    <row r="101" spans="2:17" ht="17.100000000000001" customHeight="1" x14ac:dyDescent="0.3">
      <c r="B101" s="7" t="s">
        <v>53</v>
      </c>
      <c r="C101" s="7" t="s">
        <v>32</v>
      </c>
      <c r="D101" s="12">
        <f>$C$11+205</f>
        <v>3205</v>
      </c>
      <c r="E101" s="9">
        <v>336</v>
      </c>
      <c r="F101" s="10">
        <f t="shared" si="24"/>
        <v>1.2237129485179408</v>
      </c>
      <c r="G101" s="11">
        <f t="shared" si="25"/>
        <v>196.1</v>
      </c>
      <c r="H101" s="10">
        <f t="shared" si="34"/>
        <v>33.25305888864041</v>
      </c>
      <c r="I101" s="12">
        <f t="shared" si="35"/>
        <v>5236.4000000000015</v>
      </c>
      <c r="J101" s="17">
        <f t="shared" si="26"/>
        <v>3149.4245492036885</v>
      </c>
      <c r="K101" s="12">
        <f t="shared" si="27"/>
        <v>2915.5462619075133</v>
      </c>
      <c r="L101" s="12">
        <f t="shared" si="28"/>
        <v>3432.9838440621047</v>
      </c>
      <c r="M101" s="14">
        <f t="shared" si="29"/>
        <v>7.1133804699564651E-2</v>
      </c>
      <c r="N101" s="14">
        <f t="shared" si="30"/>
        <v>0.02</v>
      </c>
      <c r="O101" s="18">
        <f t="shared" si="31"/>
        <v>3146.2751246544849</v>
      </c>
      <c r="P101" s="12">
        <f t="shared" si="32"/>
        <v>3.1494245492035589</v>
      </c>
      <c r="Q101" s="19">
        <f t="shared" si="33"/>
        <v>3243.9072856797993</v>
      </c>
    </row>
    <row r="102" spans="2:17" ht="17.100000000000001" customHeight="1" x14ac:dyDescent="0.3">
      <c r="B102" s="7" t="s">
        <v>53</v>
      </c>
      <c r="C102" s="7" t="s">
        <v>33</v>
      </c>
      <c r="D102" s="12">
        <f>$C$11+207.5</f>
        <v>3207.5</v>
      </c>
      <c r="E102" s="9">
        <v>352</v>
      </c>
      <c r="F102" s="10">
        <f t="shared" si="24"/>
        <v>1.2813717848791895</v>
      </c>
      <c r="G102" s="11">
        <f t="shared" si="25"/>
        <v>205.5</v>
      </c>
      <c r="H102" s="10">
        <f t="shared" si="34"/>
        <v>34.534430673519601</v>
      </c>
      <c r="I102" s="12">
        <f t="shared" si="35"/>
        <v>5441.9000000000015</v>
      </c>
      <c r="J102" s="17">
        <f t="shared" si="26"/>
        <v>3151.5793912726963</v>
      </c>
      <c r="K102" s="12">
        <f t="shared" si="27"/>
        <v>2626.9136146859132</v>
      </c>
      <c r="L102" s="12">
        <f t="shared" si="28"/>
        <v>3424.0253527568311</v>
      </c>
      <c r="M102" s="14">
        <f t="shared" si="29"/>
        <v>6.7505955652948132E-2</v>
      </c>
      <c r="N102" s="14">
        <f t="shared" si="30"/>
        <v>0.02</v>
      </c>
      <c r="O102" s="18">
        <f t="shared" si="31"/>
        <v>3148.4278118814236</v>
      </c>
      <c r="P102" s="12">
        <f t="shared" si="32"/>
        <v>3.1515793912726622</v>
      </c>
      <c r="Q102" s="19">
        <f t="shared" si="33"/>
        <v>3246.1267730108771</v>
      </c>
    </row>
    <row r="103" spans="2:17" ht="17.100000000000001" customHeight="1" x14ac:dyDescent="0.3">
      <c r="B103" s="7" t="s">
        <v>53</v>
      </c>
      <c r="C103" s="7" t="s">
        <v>34</v>
      </c>
      <c r="D103" s="12">
        <f>$C$11+210</f>
        <v>3210</v>
      </c>
      <c r="E103" s="9">
        <v>368</v>
      </c>
      <c r="F103" s="10">
        <f t="shared" si="24"/>
        <v>1.3383177570093459</v>
      </c>
      <c r="G103" s="11">
        <f t="shared" si="25"/>
        <v>214.8</v>
      </c>
      <c r="H103" s="10">
        <f t="shared" si="34"/>
        <v>35.872748430528944</v>
      </c>
      <c r="I103" s="12">
        <f t="shared" si="35"/>
        <v>5656.7000000000016</v>
      </c>
      <c r="J103" s="17">
        <f t="shared" si="26"/>
        <v>3153.7589103074997</v>
      </c>
      <c r="K103" s="12">
        <f t="shared" si="27"/>
        <v>2325.7775380021212</v>
      </c>
      <c r="L103" s="12">
        <f t="shared" si="28"/>
        <v>3415.4448263728796</v>
      </c>
      <c r="M103" s="14">
        <f t="shared" si="29"/>
        <v>6.4001503542953128E-2</v>
      </c>
      <c r="N103" s="14">
        <f t="shared" si="30"/>
        <v>0.02</v>
      </c>
      <c r="O103" s="18">
        <f t="shared" si="31"/>
        <v>3150.605151397192</v>
      </c>
      <c r="P103" s="12">
        <f t="shared" si="32"/>
        <v>3.1537589103077153</v>
      </c>
      <c r="Q103" s="19">
        <f t="shared" si="33"/>
        <v>3248.3716776167248</v>
      </c>
    </row>
    <row r="104" spans="2:17" ht="17.100000000000001" customHeight="1" x14ac:dyDescent="0.3">
      <c r="B104" s="7" t="s">
        <v>53</v>
      </c>
      <c r="C104" s="7" t="s">
        <v>35</v>
      </c>
      <c r="D104" s="12">
        <f>$C$11+212.5</f>
        <v>3212.5</v>
      </c>
      <c r="E104" s="9">
        <v>384</v>
      </c>
      <c r="F104" s="10">
        <f t="shared" si="24"/>
        <v>1.3957976653696498</v>
      </c>
      <c r="G104" s="11">
        <f t="shared" si="25"/>
        <v>224.2</v>
      </c>
      <c r="H104" s="10">
        <f t="shared" si="34"/>
        <v>37.268546095898593</v>
      </c>
      <c r="I104" s="12">
        <f t="shared" si="35"/>
        <v>5880.9000000000015</v>
      </c>
      <c r="J104" s="17">
        <f t="shared" si="26"/>
        <v>3155.9589069385215</v>
      </c>
      <c r="K104" s="12">
        <f t="shared" si="27"/>
        <v>2011.8956669257959</v>
      </c>
      <c r="L104" s="12">
        <f t="shared" si="28"/>
        <v>3407.2454624434349</v>
      </c>
      <c r="M104" s="14">
        <f t="shared" si="29"/>
        <v>6.0621155624415536E-2</v>
      </c>
      <c r="N104" s="14">
        <f t="shared" si="30"/>
        <v>0.02</v>
      </c>
      <c r="O104" s="18">
        <f t="shared" si="31"/>
        <v>3152.8029480315831</v>
      </c>
      <c r="P104" s="12">
        <f t="shared" si="32"/>
        <v>3.1559589069383946</v>
      </c>
      <c r="Q104" s="19">
        <f t="shared" si="33"/>
        <v>3250.6376741466775</v>
      </c>
    </row>
    <row r="105" spans="2:17" ht="17.100000000000001" customHeight="1" x14ac:dyDescent="0.3">
      <c r="B105" s="7" t="s">
        <v>53</v>
      </c>
      <c r="C105" s="7" t="s">
        <v>36</v>
      </c>
      <c r="D105" s="12">
        <f>$C$11+215</f>
        <v>3215</v>
      </c>
      <c r="E105" s="9">
        <v>400</v>
      </c>
      <c r="F105" s="10">
        <f t="shared" si="24"/>
        <v>1.4525660964230172</v>
      </c>
      <c r="G105" s="11">
        <f t="shared" si="25"/>
        <v>233.5</v>
      </c>
      <c r="H105" s="10">
        <f t="shared" si="34"/>
        <v>38.721112192321613</v>
      </c>
      <c r="I105" s="12">
        <f t="shared" si="35"/>
        <v>6114.4000000000015</v>
      </c>
      <c r="J105" s="17">
        <f t="shared" si="26"/>
        <v>3158.1737475053651</v>
      </c>
      <c r="K105" s="12">
        <f t="shared" si="27"/>
        <v>1685.2243016860448</v>
      </c>
      <c r="L105" s="12">
        <f t="shared" si="28"/>
        <v>3399.4336240261941</v>
      </c>
      <c r="M105" s="14">
        <f t="shared" si="29"/>
        <v>5.7366601563357433E-2</v>
      </c>
      <c r="N105" s="14">
        <f t="shared" si="30"/>
        <v>0.02</v>
      </c>
      <c r="O105" s="18">
        <f t="shared" si="31"/>
        <v>3155.0155737578598</v>
      </c>
      <c r="P105" s="12">
        <f t="shared" si="32"/>
        <v>3.158173747505316</v>
      </c>
      <c r="Q105" s="19">
        <f t="shared" si="33"/>
        <v>3252.9189599305259</v>
      </c>
    </row>
    <row r="106" spans="2:17" ht="17.100000000000001" customHeight="1" x14ac:dyDescent="0.3">
      <c r="B106" s="7" t="s">
        <v>53</v>
      </c>
      <c r="C106" s="7" t="s">
        <v>37</v>
      </c>
      <c r="D106" s="12">
        <f>$C$11+217.5</f>
        <v>3217.5</v>
      </c>
      <c r="E106" s="9">
        <v>416</v>
      </c>
      <c r="F106" s="10">
        <f t="shared" si="24"/>
        <v>1.5092463092463093</v>
      </c>
      <c r="G106" s="11">
        <f t="shared" si="25"/>
        <v>242.8</v>
      </c>
      <c r="H106" s="10">
        <f t="shared" si="34"/>
        <v>40.23035850156792</v>
      </c>
      <c r="I106" s="12">
        <f t="shared" si="35"/>
        <v>6357.2000000000016</v>
      </c>
      <c r="J106" s="17">
        <f t="shared" si="26"/>
        <v>3160.3993783710571</v>
      </c>
      <c r="K106" s="12">
        <f t="shared" si="27"/>
        <v>1345.6215212052416</v>
      </c>
      <c r="L106" s="12">
        <f t="shared" si="28"/>
        <v>3392.0078424598228</v>
      </c>
      <c r="M106" s="14">
        <f t="shared" si="29"/>
        <v>5.423709167360459E-2</v>
      </c>
      <c r="N106" s="14">
        <f t="shared" si="30"/>
        <v>0.02</v>
      </c>
      <c r="O106" s="18">
        <f t="shared" si="31"/>
        <v>3157.238978992686</v>
      </c>
      <c r="P106" s="12">
        <f t="shared" si="32"/>
        <v>3.1603993783710393</v>
      </c>
      <c r="Q106" s="19">
        <f t="shared" si="33"/>
        <v>3255.2113597221887</v>
      </c>
    </row>
    <row r="107" spans="2:17" ht="17.100000000000001" customHeight="1" x14ac:dyDescent="0.3">
      <c r="B107" s="7" t="s">
        <v>53</v>
      </c>
      <c r="C107" s="7" t="s">
        <v>38</v>
      </c>
      <c r="D107" s="12">
        <f>$C$11+220</f>
        <v>3220</v>
      </c>
      <c r="E107" s="9">
        <v>432</v>
      </c>
      <c r="F107" s="10">
        <f t="shared" si="24"/>
        <v>1.5664596273291926</v>
      </c>
      <c r="G107" s="11">
        <f t="shared" si="25"/>
        <v>252.2</v>
      </c>
      <c r="H107" s="10">
        <f t="shared" si="34"/>
        <v>41.796818128897115</v>
      </c>
      <c r="I107" s="12">
        <f t="shared" si="35"/>
        <v>6609.4000000000015</v>
      </c>
      <c r="J107" s="17">
        <f t="shared" si="26"/>
        <v>3162.6330882974335</v>
      </c>
      <c r="K107" s="12">
        <f t="shared" si="27"/>
        <v>992.84562495132514</v>
      </c>
      <c r="L107" s="12">
        <f t="shared" si="28"/>
        <v>3384.9609455584327</v>
      </c>
      <c r="M107" s="14">
        <f t="shared" si="29"/>
        <v>5.1230107316283462E-2</v>
      </c>
      <c r="N107" s="14">
        <f t="shared" si="30"/>
        <v>0.02</v>
      </c>
      <c r="O107" s="18">
        <f t="shared" si="31"/>
        <v>3159.4704552091362</v>
      </c>
      <c r="P107" s="12">
        <f t="shared" si="32"/>
        <v>3.1626330882972979</v>
      </c>
      <c r="Q107" s="19">
        <f t="shared" si="33"/>
        <v>3257.5120809463565</v>
      </c>
    </row>
    <row r="108" spans="2:17" ht="17.100000000000001" customHeight="1" x14ac:dyDescent="0.3">
      <c r="B108" s="7" t="s">
        <v>53</v>
      </c>
      <c r="C108" s="7" t="s">
        <v>39</v>
      </c>
      <c r="D108" s="12">
        <f>$C$11+222.5</f>
        <v>3222.5</v>
      </c>
      <c r="E108" s="9">
        <v>448</v>
      </c>
      <c r="F108" s="10">
        <f t="shared" si="24"/>
        <v>1.6229635376260667</v>
      </c>
      <c r="G108" s="11">
        <f t="shared" si="25"/>
        <v>261.5</v>
      </c>
      <c r="H108" s="10">
        <f t="shared" si="34"/>
        <v>43.419781666523178</v>
      </c>
      <c r="I108" s="12">
        <f t="shared" si="35"/>
        <v>6870.9000000000015</v>
      </c>
      <c r="J108" s="17">
        <f t="shared" si="26"/>
        <v>3164.8708198353252</v>
      </c>
      <c r="K108" s="12">
        <f t="shared" si="27"/>
        <v>626.85357962908893</v>
      </c>
      <c r="L108" s="12">
        <f t="shared" si="28"/>
        <v>3378.2891457402766</v>
      </c>
      <c r="M108" s="14">
        <f t="shared" si="29"/>
        <v>4.8344187972157199E-2</v>
      </c>
      <c r="N108" s="14">
        <f t="shared" si="30"/>
        <v>0.02</v>
      </c>
      <c r="O108" s="18">
        <f t="shared" si="31"/>
        <v>3161.7059490154898</v>
      </c>
      <c r="P108" s="12">
        <f t="shared" si="32"/>
        <v>3.1648708198354143</v>
      </c>
      <c r="Q108" s="19">
        <f t="shared" si="33"/>
        <v>3259.8169444303849</v>
      </c>
    </row>
    <row r="109" spans="2:17" ht="17.100000000000001" customHeight="1" x14ac:dyDescent="0.3">
      <c r="B109" s="7" t="s">
        <v>53</v>
      </c>
      <c r="C109" s="7" t="s">
        <v>40</v>
      </c>
      <c r="D109" s="12">
        <f>$C$11+225</f>
        <v>3225</v>
      </c>
      <c r="E109" s="9">
        <v>464</v>
      </c>
      <c r="F109" s="10">
        <f t="shared" si="24"/>
        <v>1.68</v>
      </c>
      <c r="G109" s="11">
        <f t="shared" si="25"/>
        <v>270.89999999999998</v>
      </c>
      <c r="H109" s="10">
        <f t="shared" si="34"/>
        <v>45.099781666523178</v>
      </c>
      <c r="I109" s="12">
        <f t="shared" si="35"/>
        <v>7141.8000000000011</v>
      </c>
      <c r="J109" s="17">
        <f t="shared" si="26"/>
        <v>3167.1106759708514</v>
      </c>
      <c r="K109" s="12">
        <f t="shared" si="27"/>
        <v>247.40412546278276</v>
      </c>
      <c r="L109" s="12">
        <f t="shared" si="28"/>
        <v>3371.981332748458</v>
      </c>
      <c r="M109" s="14">
        <f t="shared" si="29"/>
        <v>4.5575607053785439E-2</v>
      </c>
      <c r="N109" s="14">
        <f t="shared" si="30"/>
        <v>0.02</v>
      </c>
      <c r="O109" s="18">
        <f t="shared" si="31"/>
        <v>3163.9435652948805</v>
      </c>
      <c r="P109" s="12">
        <f t="shared" si="32"/>
        <v>3.1671106759708891</v>
      </c>
      <c r="Q109" s="19">
        <f t="shared" si="33"/>
        <v>3262.1239962499772</v>
      </c>
    </row>
    <row r="110" spans="2:17" ht="17.100000000000001" customHeight="1" x14ac:dyDescent="0.3">
      <c r="B110" s="7" t="s">
        <v>53</v>
      </c>
      <c r="C110" s="7" t="s">
        <v>41</v>
      </c>
      <c r="D110" s="12">
        <f>$C$11+227.5</f>
        <v>3227.5</v>
      </c>
      <c r="E110" s="9">
        <v>480</v>
      </c>
      <c r="F110" s="10">
        <f t="shared" si="24"/>
        <v>1.7363284275755229</v>
      </c>
      <c r="G110" s="11">
        <f t="shared" si="25"/>
        <v>280.2</v>
      </c>
      <c r="H110" s="10">
        <f t="shared" si="34"/>
        <v>46.8361100940987</v>
      </c>
      <c r="I110" s="12">
        <f t="shared" si="35"/>
        <v>7422.0000000000009</v>
      </c>
      <c r="J110" s="17">
        <f t="shared" si="26"/>
        <v>3169.3494549775455</v>
      </c>
      <c r="K110" s="12">
        <f t="shared" si="27"/>
        <v>-145.54532870352205</v>
      </c>
      <c r="L110" s="12">
        <f t="shared" si="28"/>
        <v>3366.0297786642263</v>
      </c>
      <c r="M110" s="14">
        <f t="shared" si="29"/>
        <v>4.2921697494725436E-2</v>
      </c>
      <c r="N110" s="14">
        <f t="shared" si="30"/>
        <v>0.02</v>
      </c>
      <c r="O110" s="18">
        <f t="shared" si="31"/>
        <v>3166.1801055225678</v>
      </c>
      <c r="P110" s="12">
        <f t="shared" si="32"/>
        <v>3.1693494549776915</v>
      </c>
      <c r="Q110" s="19">
        <f t="shared" si="33"/>
        <v>3264.4299386268722</v>
      </c>
    </row>
    <row r="111" spans="2:17" ht="17.100000000000001" customHeight="1" x14ac:dyDescent="0.3">
      <c r="B111" s="7" t="s">
        <v>53</v>
      </c>
      <c r="C111" s="7" t="s">
        <v>42</v>
      </c>
      <c r="D111" s="12">
        <f>$C$11+230</f>
        <v>3230</v>
      </c>
      <c r="E111" s="9">
        <v>496</v>
      </c>
      <c r="F111" s="10">
        <f t="shared" si="24"/>
        <v>1.7931888544891641</v>
      </c>
      <c r="G111" s="11">
        <f t="shared" si="25"/>
        <v>289.60000000000002</v>
      </c>
      <c r="H111" s="10">
        <f t="shared" si="34"/>
        <v>48.629298948587866</v>
      </c>
      <c r="I111" s="12">
        <f t="shared" si="35"/>
        <v>7711.6000000000013</v>
      </c>
      <c r="J111" s="17">
        <f t="shared" si="26"/>
        <v>3171.5859231912436</v>
      </c>
      <c r="K111" s="12">
        <f t="shared" si="27"/>
        <v>-552.23560393878779</v>
      </c>
      <c r="L111" s="12">
        <f t="shared" si="28"/>
        <v>3360.4211639139767</v>
      </c>
      <c r="M111" s="14">
        <f t="shared" si="29"/>
        <v>4.0378069323212591E-2</v>
      </c>
      <c r="N111" s="14">
        <f t="shared" si="30"/>
        <v>0.02</v>
      </c>
      <c r="O111" s="18">
        <f t="shared" si="31"/>
        <v>3168.4143372680523</v>
      </c>
      <c r="P111" s="12">
        <f t="shared" si="32"/>
        <v>3.1715859231912873</v>
      </c>
      <c r="Q111" s="19">
        <f t="shared" si="33"/>
        <v>3266.7335008869809</v>
      </c>
    </row>
    <row r="112" spans="2:17" ht="17.100000000000001" customHeight="1" x14ac:dyDescent="0.3">
      <c r="B112" s="7" t="s">
        <v>53</v>
      </c>
      <c r="C112" s="7" t="s">
        <v>43</v>
      </c>
      <c r="D112" s="12">
        <f>$C$11+232.5</f>
        <v>3232.5</v>
      </c>
      <c r="E112" s="9">
        <v>512</v>
      </c>
      <c r="F112" s="10">
        <f t="shared" si="24"/>
        <v>1.8493426140757927</v>
      </c>
      <c r="G112" s="11">
        <f t="shared" si="25"/>
        <v>298.89999999999998</v>
      </c>
      <c r="H112" s="10">
        <f t="shared" si="34"/>
        <v>50.478641562663661</v>
      </c>
      <c r="I112" s="12">
        <f t="shared" si="35"/>
        <v>8010.5000000000009</v>
      </c>
      <c r="J112" s="17">
        <f t="shared" si="26"/>
        <v>3173.8175798791453</v>
      </c>
      <c r="K112" s="12">
        <f t="shared" si="27"/>
        <v>-972.70885131026535</v>
      </c>
      <c r="L112" s="12">
        <f t="shared" si="28"/>
        <v>3355.1454404603251</v>
      </c>
      <c r="M112" s="14">
        <f t="shared" si="29"/>
        <v>3.7941358224385172E-2</v>
      </c>
      <c r="N112" s="14">
        <f t="shared" si="30"/>
        <v>0.02</v>
      </c>
      <c r="O112" s="18">
        <f t="shared" si="31"/>
        <v>3170.6437622992662</v>
      </c>
      <c r="P112" s="12">
        <f t="shared" si="32"/>
        <v>3.1738175798791417</v>
      </c>
      <c r="Q112" s="19">
        <f t="shared" si="33"/>
        <v>3269.0321072755196</v>
      </c>
    </row>
    <row r="113" spans="2:17" ht="17.100000000000001" customHeight="1" x14ac:dyDescent="0.3">
      <c r="B113" s="7" t="s">
        <v>53</v>
      </c>
      <c r="C113" s="7" t="s">
        <v>44</v>
      </c>
      <c r="D113" s="12">
        <f>$C$11+235</f>
        <v>3235</v>
      </c>
      <c r="E113" s="9">
        <v>528</v>
      </c>
      <c r="F113" s="10">
        <f t="shared" si="24"/>
        <v>1.9054095826893354</v>
      </c>
      <c r="G113" s="11">
        <f t="shared" si="25"/>
        <v>308.2</v>
      </c>
      <c r="H113" s="10">
        <f t="shared" si="34"/>
        <v>52.384051145352998</v>
      </c>
      <c r="I113" s="12">
        <f t="shared" si="35"/>
        <v>8318.7000000000007</v>
      </c>
      <c r="J113" s="17">
        <f t="shared" si="26"/>
        <v>3176.0430200091364</v>
      </c>
      <c r="K113" s="12">
        <f t="shared" si="27"/>
        <v>-1407.105455216953</v>
      </c>
      <c r="L113" s="12">
        <f t="shared" si="28"/>
        <v>3350.1898684005023</v>
      </c>
      <c r="M113" s="14">
        <f t="shared" si="29"/>
        <v>3.5607378176353101E-2</v>
      </c>
      <c r="N113" s="14">
        <f t="shared" si="30"/>
        <v>0.02</v>
      </c>
      <c r="O113" s="18">
        <f t="shared" si="31"/>
        <v>3172.8669769891271</v>
      </c>
      <c r="P113" s="12">
        <f t="shared" si="32"/>
        <v>3.1760430200092742</v>
      </c>
      <c r="Q113" s="19">
        <f t="shared" si="33"/>
        <v>3271.3243106094105</v>
      </c>
    </row>
    <row r="114" spans="2:17" ht="17.100000000000001" customHeight="1" x14ac:dyDescent="0.3">
      <c r="B114" s="7" t="s">
        <v>53</v>
      </c>
      <c r="C114" s="7" t="s">
        <v>45</v>
      </c>
      <c r="D114" s="12">
        <f>$C$11+237.5</f>
        <v>3237.5</v>
      </c>
      <c r="E114" s="9">
        <v>544</v>
      </c>
      <c r="F114" s="10">
        <f t="shared" si="24"/>
        <v>1.9620077220077221</v>
      </c>
      <c r="G114" s="11">
        <f t="shared" si="25"/>
        <v>317.60000000000002</v>
      </c>
      <c r="H114" s="10">
        <f t="shared" si="34"/>
        <v>54.346058867360718</v>
      </c>
      <c r="I114" s="12">
        <f t="shared" si="35"/>
        <v>8636.3000000000011</v>
      </c>
      <c r="J114" s="17">
        <f t="shared" si="26"/>
        <v>3178.2617470304954</v>
      </c>
      <c r="K114" s="12">
        <f t="shared" si="27"/>
        <v>-1855.6655830803056</v>
      </c>
      <c r="L114" s="12">
        <f t="shared" si="28"/>
        <v>3345.5400301728528</v>
      </c>
      <c r="M114" s="14">
        <f t="shared" si="29"/>
        <v>3.3371437891228657E-2</v>
      </c>
      <c r="N114" s="14">
        <f t="shared" si="30"/>
        <v>0.02</v>
      </c>
      <c r="O114" s="18">
        <f t="shared" si="31"/>
        <v>3175.0834852834651</v>
      </c>
      <c r="P114" s="12">
        <f t="shared" si="32"/>
        <v>3.1782617470303194</v>
      </c>
      <c r="Q114" s="19">
        <f t="shared" si="33"/>
        <v>3273.6095994414104</v>
      </c>
    </row>
    <row r="115" spans="2:17" ht="17.100000000000001" customHeight="1" x14ac:dyDescent="0.3">
      <c r="B115" s="7" t="s">
        <v>53</v>
      </c>
      <c r="C115" s="7" t="s">
        <v>46</v>
      </c>
      <c r="D115" s="12">
        <f>$C$11+240</f>
        <v>3240</v>
      </c>
      <c r="E115" s="9">
        <v>560</v>
      </c>
      <c r="F115" s="10">
        <f t="shared" ref="F115:F146" si="36">(G115*$C$13)/D115</f>
        <v>2.0179012345679013</v>
      </c>
      <c r="G115" s="11">
        <f t="shared" si="25"/>
        <v>326.89999999999998</v>
      </c>
      <c r="H115" s="10">
        <f t="shared" si="34"/>
        <v>56.363960101928619</v>
      </c>
      <c r="I115" s="12">
        <f t="shared" si="35"/>
        <v>8963.2000000000007</v>
      </c>
      <c r="J115" s="17">
        <f t="shared" ref="J115:J146" si="37">I115*$C$13/H115</f>
        <v>3180.472054763698</v>
      </c>
      <c r="K115" s="12">
        <f t="shared" ref="K115:K146" si="38">$C$12-I115+H115*(J115-D115)</f>
        <v>-2318.4307302487186</v>
      </c>
      <c r="L115" s="12">
        <f t="shared" si="28"/>
        <v>3341.1844682158458</v>
      </c>
      <c r="M115" s="14">
        <f t="shared" ref="M115:M146" si="39">(L115-D115)/D115</f>
        <v>3.1229774140693133E-2</v>
      </c>
      <c r="N115" s="14">
        <f t="shared" si="30"/>
        <v>0.02</v>
      </c>
      <c r="O115" s="18">
        <f t="shared" ref="O115:O146" si="40">J115*(1-N115/$C$13)</f>
        <v>3177.2915827089341</v>
      </c>
      <c r="P115" s="12">
        <f t="shared" ref="P115:P146" si="41">J115-O115</f>
        <v>3.1804720547638681</v>
      </c>
      <c r="Q115" s="19">
        <f t="shared" si="33"/>
        <v>3275.886216406609</v>
      </c>
    </row>
    <row r="116" spans="2:17" ht="17.100000000000001" customHeight="1" x14ac:dyDescent="0.3">
      <c r="B116" s="7" t="s">
        <v>53</v>
      </c>
      <c r="C116" s="7" t="s">
        <v>47</v>
      </c>
      <c r="D116" s="12">
        <f>$C$11+242.5</f>
        <v>3242.5</v>
      </c>
      <c r="E116" s="9">
        <v>576</v>
      </c>
      <c r="F116" s="10">
        <f t="shared" si="36"/>
        <v>2.0743253662297612</v>
      </c>
      <c r="G116" s="11">
        <f t="shared" si="25"/>
        <v>336.3</v>
      </c>
      <c r="H116" s="10">
        <f t="shared" si="34"/>
        <v>58.438285468158384</v>
      </c>
      <c r="I116" s="12">
        <f t="shared" si="35"/>
        <v>9299.5</v>
      </c>
      <c r="J116" s="17">
        <f t="shared" si="37"/>
        <v>3182.6737986921516</v>
      </c>
      <c r="K116" s="12">
        <f t="shared" si="38"/>
        <v>-2795.6406305035525</v>
      </c>
      <c r="L116" s="12">
        <f t="shared" si="28"/>
        <v>3337.1089485401367</v>
      </c>
      <c r="M116" s="14">
        <f t="shared" si="39"/>
        <v>2.9177779040905683E-2</v>
      </c>
      <c r="N116" s="14">
        <f t="shared" si="30"/>
        <v>0.02</v>
      </c>
      <c r="O116" s="18">
        <f t="shared" si="40"/>
        <v>3179.4911248934595</v>
      </c>
      <c r="P116" s="12">
        <f t="shared" si="41"/>
        <v>3.1826737986921216</v>
      </c>
      <c r="Q116" s="19">
        <f t="shared" si="33"/>
        <v>3278.1540126529162</v>
      </c>
    </row>
    <row r="117" spans="2:17" ht="17.100000000000001" customHeight="1" x14ac:dyDescent="0.3">
      <c r="B117" s="7" t="s">
        <v>53</v>
      </c>
      <c r="C117" s="7" t="s">
        <v>48</v>
      </c>
      <c r="D117" s="12">
        <f>$C$11+245</f>
        <v>3245</v>
      </c>
      <c r="E117" s="9">
        <v>592</v>
      </c>
      <c r="F117" s="10">
        <f t="shared" si="36"/>
        <v>2.1300462249614793</v>
      </c>
      <c r="G117" s="11">
        <f t="shared" si="25"/>
        <v>345.6</v>
      </c>
      <c r="H117" s="10">
        <f t="shared" si="34"/>
        <v>60.568331693119866</v>
      </c>
      <c r="I117" s="12">
        <f t="shared" si="35"/>
        <v>9645.1</v>
      </c>
      <c r="J117" s="17">
        <f t="shared" si="37"/>
        <v>3184.8656650701887</v>
      </c>
      <c r="K117" s="12">
        <f t="shared" si="38"/>
        <v>-3287.3363441739752</v>
      </c>
      <c r="L117" s="12">
        <f t="shared" si="28"/>
        <v>3333.3019363379035</v>
      </c>
      <c r="M117" s="14">
        <f t="shared" si="39"/>
        <v>2.7211690705055008E-2</v>
      </c>
      <c r="N117" s="14">
        <f t="shared" si="30"/>
        <v>0.02</v>
      </c>
      <c r="O117" s="18">
        <f t="shared" si="40"/>
        <v>3181.6807994051187</v>
      </c>
      <c r="P117" s="12">
        <f t="shared" si="41"/>
        <v>3.1848656650699922</v>
      </c>
      <c r="Q117" s="19">
        <f t="shared" si="33"/>
        <v>3280.4116350222944</v>
      </c>
    </row>
    <row r="118" spans="2:17" ht="17.100000000000001" customHeight="1" x14ac:dyDescent="0.3">
      <c r="B118" s="7" t="s">
        <v>53</v>
      </c>
      <c r="C118" s="7" t="s">
        <v>49</v>
      </c>
      <c r="D118" s="12">
        <f>$C$11+247.5</f>
        <v>3247.5</v>
      </c>
      <c r="E118" s="9">
        <v>608</v>
      </c>
      <c r="F118" s="10">
        <f t="shared" si="36"/>
        <v>2.1856812933025402</v>
      </c>
      <c r="G118" s="11">
        <f t="shared" si="25"/>
        <v>354.9</v>
      </c>
      <c r="H118" s="10">
        <f t="shared" si="34"/>
        <v>62.75401298642241</v>
      </c>
      <c r="I118" s="12">
        <f t="shared" si="35"/>
        <v>10000</v>
      </c>
      <c r="J118" s="17">
        <f t="shared" si="37"/>
        <v>3187.0471780549306</v>
      </c>
      <c r="K118" s="12">
        <f t="shared" si="38"/>
        <v>-3793.6571734067697</v>
      </c>
      <c r="L118" s="12">
        <f t="shared" si="28"/>
        <v>3329.7507830424647</v>
      </c>
      <c r="M118" s="14">
        <f t="shared" si="39"/>
        <v>2.5327415871428706E-2</v>
      </c>
      <c r="N118" s="14">
        <f t="shared" si="30"/>
        <v>0.02</v>
      </c>
      <c r="O118" s="18">
        <f t="shared" si="40"/>
        <v>3183.8601308768757</v>
      </c>
      <c r="P118" s="12">
        <f t="shared" si="41"/>
        <v>3.1870471780548542</v>
      </c>
      <c r="Q118" s="19">
        <f t="shared" si="33"/>
        <v>3282.6585933965785</v>
      </c>
    </row>
  </sheetData>
  <mergeCells count="8">
    <mergeCell ref="B9:Q9"/>
    <mergeCell ref="B8:Q8"/>
    <mergeCell ref="B4:Q4"/>
    <mergeCell ref="B6:Q6"/>
    <mergeCell ref="B2:Q2"/>
    <mergeCell ref="B7:Q7"/>
    <mergeCell ref="B3:Q3"/>
    <mergeCell ref="B5:Q5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비트_롱계산기</vt:lpstr>
      <vt:lpstr>비트_숏계산기</vt:lpstr>
      <vt:lpstr>이더_롱계산기</vt:lpstr>
      <vt:lpstr>이더_숏계산기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공태원</cp:lastModifiedBy>
  <dcterms:created xsi:type="dcterms:W3CDTF">2026-07-19T12:23:09Z</dcterms:created>
  <dcterms:modified xsi:type="dcterms:W3CDTF">2026-07-19T12:24:50Z</dcterms:modified>
</cp:coreProperties>
</file>