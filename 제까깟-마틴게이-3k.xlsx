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공\Desktop\"/>
    </mc:Choice>
  </mc:AlternateContent>
  <xr:revisionPtr revIDLastSave="0" documentId="13_ncr:1_{0E1F407B-EA21-4817-8406-B10AD628D6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비트_롱계산기" sheetId="1" r:id="rId1"/>
    <sheet name="비트_숏계산기" sheetId="2" r:id="rId2"/>
    <sheet name="이더_롱계산기" sheetId="3" r:id="rId3"/>
    <sheet name="이더_숏계산기" sheetId="4" r:id="rId4"/>
  </sheets>
  <calcPr calcId="191029"/>
</workbook>
</file>

<file path=xl/calcChain.xml><?xml version="1.0" encoding="utf-8"?>
<calcChain xmlns="http://schemas.openxmlformats.org/spreadsheetml/2006/main">
  <c r="N78" i="4" l="1"/>
  <c r="G78" i="4"/>
  <c r="F78" i="4" s="1"/>
  <c r="D78" i="4"/>
  <c r="N77" i="4"/>
  <c r="G77" i="4"/>
  <c r="F77" i="4" s="1"/>
  <c r="D77" i="4"/>
  <c r="N76" i="4"/>
  <c r="G76" i="4"/>
  <c r="F76" i="4" s="1"/>
  <c r="D76" i="4"/>
  <c r="N75" i="4"/>
  <c r="G75" i="4"/>
  <c r="F75" i="4" s="1"/>
  <c r="D75" i="4"/>
  <c r="N74" i="4"/>
  <c r="G74" i="4"/>
  <c r="F74" i="4" s="1"/>
  <c r="D74" i="4"/>
  <c r="N73" i="4"/>
  <c r="G73" i="4"/>
  <c r="F73" i="4" s="1"/>
  <c r="D73" i="4"/>
  <c r="N72" i="4"/>
  <c r="G72" i="4"/>
  <c r="F72" i="4" s="1"/>
  <c r="D72" i="4"/>
  <c r="N71" i="4"/>
  <c r="G71" i="4"/>
  <c r="F71" i="4" s="1"/>
  <c r="D71" i="4"/>
  <c r="N70" i="4"/>
  <c r="G70" i="4"/>
  <c r="F70" i="4" s="1"/>
  <c r="D70" i="4"/>
  <c r="N69" i="4"/>
  <c r="G69" i="4"/>
  <c r="F69" i="4" s="1"/>
  <c r="D69" i="4"/>
  <c r="N68" i="4"/>
  <c r="G68" i="4"/>
  <c r="F68" i="4" s="1"/>
  <c r="D68" i="4"/>
  <c r="N67" i="4"/>
  <c r="G67" i="4"/>
  <c r="F67" i="4"/>
  <c r="D67" i="4"/>
  <c r="N66" i="4"/>
  <c r="G66" i="4"/>
  <c r="F66" i="4" s="1"/>
  <c r="D66" i="4"/>
  <c r="N65" i="4"/>
  <c r="G65" i="4"/>
  <c r="F65" i="4" s="1"/>
  <c r="D65" i="4"/>
  <c r="N64" i="4"/>
  <c r="G64" i="4"/>
  <c r="F64" i="4"/>
  <c r="D64" i="4"/>
  <c r="N63" i="4"/>
  <c r="G63" i="4"/>
  <c r="F63" i="4" s="1"/>
  <c r="D63" i="4"/>
  <c r="N62" i="4"/>
  <c r="G62" i="4"/>
  <c r="F62" i="4" s="1"/>
  <c r="D62" i="4"/>
  <c r="N61" i="4"/>
  <c r="G61" i="4"/>
  <c r="F61" i="4" s="1"/>
  <c r="D61" i="4"/>
  <c r="N60" i="4"/>
  <c r="G60" i="4"/>
  <c r="F60" i="4" s="1"/>
  <c r="D60" i="4"/>
  <c r="N59" i="4"/>
  <c r="G59" i="4"/>
  <c r="F59" i="4" s="1"/>
  <c r="D59" i="4"/>
  <c r="N58" i="4"/>
  <c r="G58" i="4"/>
  <c r="F58" i="4"/>
  <c r="D58" i="4"/>
  <c r="N57" i="4"/>
  <c r="G57" i="4"/>
  <c r="F57" i="4" s="1"/>
  <c r="D57" i="4"/>
  <c r="N56" i="4"/>
  <c r="G56" i="4"/>
  <c r="F56" i="4" s="1"/>
  <c r="D56" i="4"/>
  <c r="N55" i="4"/>
  <c r="G55" i="4"/>
  <c r="F55" i="4"/>
  <c r="D55" i="4"/>
  <c r="N54" i="4"/>
  <c r="G54" i="4"/>
  <c r="F54" i="4" s="1"/>
  <c r="D54" i="4"/>
  <c r="N53" i="4"/>
  <c r="G53" i="4"/>
  <c r="F53" i="4" s="1"/>
  <c r="D53" i="4"/>
  <c r="N52" i="4"/>
  <c r="G52" i="4"/>
  <c r="F52" i="4"/>
  <c r="D52" i="4"/>
  <c r="N51" i="4"/>
  <c r="G51" i="4"/>
  <c r="F51" i="4" s="1"/>
  <c r="D51" i="4"/>
  <c r="N50" i="4"/>
  <c r="G50" i="4"/>
  <c r="F50" i="4" s="1"/>
  <c r="D50" i="4"/>
  <c r="N49" i="4"/>
  <c r="G49" i="4"/>
  <c r="F49" i="4" s="1"/>
  <c r="D49" i="4"/>
  <c r="N48" i="4"/>
  <c r="G48" i="4"/>
  <c r="F48" i="4" s="1"/>
  <c r="D48" i="4"/>
  <c r="N47" i="4"/>
  <c r="G47" i="4"/>
  <c r="F47" i="4" s="1"/>
  <c r="D47" i="4"/>
  <c r="N46" i="4"/>
  <c r="G46" i="4"/>
  <c r="F46" i="4" s="1"/>
  <c r="D46" i="4"/>
  <c r="N45" i="4"/>
  <c r="G45" i="4"/>
  <c r="F45" i="4" s="1"/>
  <c r="D45" i="4"/>
  <c r="N44" i="4"/>
  <c r="G44" i="4"/>
  <c r="F44" i="4" s="1"/>
  <c r="D44" i="4"/>
  <c r="N43" i="4"/>
  <c r="G43" i="4"/>
  <c r="F43" i="4"/>
  <c r="D43" i="4"/>
  <c r="N42" i="4"/>
  <c r="G42" i="4"/>
  <c r="F42" i="4" s="1"/>
  <c r="D42" i="4"/>
  <c r="N41" i="4"/>
  <c r="G41" i="4"/>
  <c r="F41" i="4" s="1"/>
  <c r="D41" i="4"/>
  <c r="N40" i="4"/>
  <c r="G40" i="4"/>
  <c r="F40" i="4"/>
  <c r="D40" i="4"/>
  <c r="N39" i="4"/>
  <c r="G39" i="4"/>
  <c r="F39" i="4" s="1"/>
  <c r="D39" i="4"/>
  <c r="N38" i="4"/>
  <c r="G38" i="4"/>
  <c r="F38" i="4" s="1"/>
  <c r="D38" i="4"/>
  <c r="N37" i="4"/>
  <c r="G37" i="4"/>
  <c r="F37" i="4" s="1"/>
  <c r="D37" i="4"/>
  <c r="N36" i="4"/>
  <c r="G36" i="4"/>
  <c r="F36" i="4" s="1"/>
  <c r="D36" i="4"/>
  <c r="N35" i="4"/>
  <c r="G35" i="4"/>
  <c r="F35" i="4" s="1"/>
  <c r="D35" i="4"/>
  <c r="N34" i="4"/>
  <c r="G34" i="4"/>
  <c r="F34" i="4" s="1"/>
  <c r="D34" i="4"/>
  <c r="N33" i="4"/>
  <c r="G33" i="4"/>
  <c r="F33" i="4" s="1"/>
  <c r="D33" i="4"/>
  <c r="N32" i="4"/>
  <c r="G32" i="4"/>
  <c r="F32" i="4" s="1"/>
  <c r="D32" i="4"/>
  <c r="N31" i="4"/>
  <c r="G31" i="4"/>
  <c r="F31" i="4"/>
  <c r="D31" i="4"/>
  <c r="N30" i="4"/>
  <c r="G30" i="4"/>
  <c r="F30" i="4" s="1"/>
  <c r="D30" i="4"/>
  <c r="N29" i="4"/>
  <c r="G29" i="4"/>
  <c r="F29" i="4" s="1"/>
  <c r="D29" i="4"/>
  <c r="N28" i="4"/>
  <c r="G28" i="4"/>
  <c r="F28" i="4"/>
  <c r="D28" i="4"/>
  <c r="N27" i="4"/>
  <c r="G27" i="4"/>
  <c r="F27" i="4" s="1"/>
  <c r="D27" i="4"/>
  <c r="N26" i="4"/>
  <c r="G26" i="4"/>
  <c r="F26" i="4" s="1"/>
  <c r="D26" i="4"/>
  <c r="N25" i="4"/>
  <c r="G25" i="4"/>
  <c r="F25" i="4" s="1"/>
  <c r="D25" i="4"/>
  <c r="N24" i="4"/>
  <c r="G24" i="4"/>
  <c r="F24" i="4"/>
  <c r="D24" i="4"/>
  <c r="N23" i="4"/>
  <c r="G23" i="4"/>
  <c r="F23" i="4" s="1"/>
  <c r="D23" i="4"/>
  <c r="N22" i="4"/>
  <c r="G22" i="4"/>
  <c r="F22" i="4" s="1"/>
  <c r="D22" i="4"/>
  <c r="N21" i="4"/>
  <c r="G21" i="4"/>
  <c r="F21" i="4" s="1"/>
  <c r="D21" i="4"/>
  <c r="N20" i="4"/>
  <c r="G20" i="4"/>
  <c r="F20" i="4" s="1"/>
  <c r="D20" i="4"/>
  <c r="N19" i="4"/>
  <c r="I19" i="4"/>
  <c r="I20" i="4" s="1"/>
  <c r="G19" i="4"/>
  <c r="F19" i="4"/>
  <c r="H19" i="4" s="1"/>
  <c r="D19" i="4"/>
  <c r="N78" i="3"/>
  <c r="G78" i="3"/>
  <c r="F78" i="3" s="1"/>
  <c r="D78" i="3"/>
  <c r="N77" i="3"/>
  <c r="G77" i="3"/>
  <c r="F77" i="3" s="1"/>
  <c r="D77" i="3"/>
  <c r="N76" i="3"/>
  <c r="G76" i="3"/>
  <c r="F76" i="3"/>
  <c r="D76" i="3"/>
  <c r="N75" i="3"/>
  <c r="G75" i="3"/>
  <c r="F75" i="3" s="1"/>
  <c r="D75" i="3"/>
  <c r="N74" i="3"/>
  <c r="G74" i="3"/>
  <c r="F74" i="3" s="1"/>
  <c r="D74" i="3"/>
  <c r="N73" i="3"/>
  <c r="G73" i="3"/>
  <c r="F73" i="3" s="1"/>
  <c r="D73" i="3"/>
  <c r="N72" i="3"/>
  <c r="G72" i="3"/>
  <c r="F72" i="3" s="1"/>
  <c r="D72" i="3"/>
  <c r="N71" i="3"/>
  <c r="G71" i="3"/>
  <c r="F71" i="3" s="1"/>
  <c r="D71" i="3"/>
  <c r="N70" i="3"/>
  <c r="G70" i="3"/>
  <c r="F70" i="3" s="1"/>
  <c r="D70" i="3"/>
  <c r="N69" i="3"/>
  <c r="G69" i="3"/>
  <c r="F69" i="3" s="1"/>
  <c r="D69" i="3"/>
  <c r="N68" i="3"/>
  <c r="G68" i="3"/>
  <c r="F68" i="3" s="1"/>
  <c r="D68" i="3"/>
  <c r="N67" i="3"/>
  <c r="G67" i="3"/>
  <c r="F67" i="3"/>
  <c r="D67" i="3"/>
  <c r="N66" i="3"/>
  <c r="G66" i="3"/>
  <c r="F66" i="3" s="1"/>
  <c r="D66" i="3"/>
  <c r="N65" i="3"/>
  <c r="G65" i="3"/>
  <c r="F65" i="3" s="1"/>
  <c r="D65" i="3"/>
  <c r="N64" i="3"/>
  <c r="G64" i="3"/>
  <c r="F64" i="3"/>
  <c r="D64" i="3"/>
  <c r="N63" i="3"/>
  <c r="G63" i="3"/>
  <c r="F63" i="3" s="1"/>
  <c r="D63" i="3"/>
  <c r="N62" i="3"/>
  <c r="G62" i="3"/>
  <c r="F62" i="3" s="1"/>
  <c r="D62" i="3"/>
  <c r="N61" i="3"/>
  <c r="G61" i="3"/>
  <c r="F61" i="3" s="1"/>
  <c r="D61" i="3"/>
  <c r="N60" i="3"/>
  <c r="G60" i="3"/>
  <c r="F60" i="3" s="1"/>
  <c r="D60" i="3"/>
  <c r="N59" i="3"/>
  <c r="G59" i="3"/>
  <c r="F59" i="3" s="1"/>
  <c r="D59" i="3"/>
  <c r="N58" i="3"/>
  <c r="G58" i="3"/>
  <c r="F58" i="3" s="1"/>
  <c r="D58" i="3"/>
  <c r="N57" i="3"/>
  <c r="G57" i="3"/>
  <c r="F57" i="3" s="1"/>
  <c r="D57" i="3"/>
  <c r="N56" i="3"/>
  <c r="G56" i="3"/>
  <c r="F56" i="3" s="1"/>
  <c r="D56" i="3"/>
  <c r="N55" i="3"/>
  <c r="G55" i="3"/>
  <c r="F55" i="3"/>
  <c r="D55" i="3"/>
  <c r="N54" i="3"/>
  <c r="G54" i="3"/>
  <c r="F54" i="3" s="1"/>
  <c r="D54" i="3"/>
  <c r="N53" i="3"/>
  <c r="G53" i="3"/>
  <c r="D53" i="3"/>
  <c r="F53" i="3" s="1"/>
  <c r="N52" i="3"/>
  <c r="G52" i="3"/>
  <c r="F52" i="3"/>
  <c r="D52" i="3"/>
  <c r="N51" i="3"/>
  <c r="G51" i="3"/>
  <c r="F51" i="3" s="1"/>
  <c r="D51" i="3"/>
  <c r="N50" i="3"/>
  <c r="G50" i="3"/>
  <c r="F50" i="3" s="1"/>
  <c r="D50" i="3"/>
  <c r="N49" i="3"/>
  <c r="G49" i="3"/>
  <c r="F49" i="3" s="1"/>
  <c r="D49" i="3"/>
  <c r="N48" i="3"/>
  <c r="G48" i="3"/>
  <c r="F48" i="3" s="1"/>
  <c r="D48" i="3"/>
  <c r="N47" i="3"/>
  <c r="G47" i="3"/>
  <c r="F47" i="3" s="1"/>
  <c r="D47" i="3"/>
  <c r="N46" i="3"/>
  <c r="G46" i="3"/>
  <c r="F46" i="3" s="1"/>
  <c r="D46" i="3"/>
  <c r="N45" i="3"/>
  <c r="G45" i="3"/>
  <c r="F45" i="3" s="1"/>
  <c r="D45" i="3"/>
  <c r="N44" i="3"/>
  <c r="G44" i="3"/>
  <c r="F44" i="3" s="1"/>
  <c r="D44" i="3"/>
  <c r="N43" i="3"/>
  <c r="G43" i="3"/>
  <c r="F43" i="3"/>
  <c r="D43" i="3"/>
  <c r="N42" i="3"/>
  <c r="G42" i="3"/>
  <c r="F42" i="3" s="1"/>
  <c r="D42" i="3"/>
  <c r="N41" i="3"/>
  <c r="G41" i="3"/>
  <c r="D41" i="3"/>
  <c r="F41" i="3" s="1"/>
  <c r="N40" i="3"/>
  <c r="G40" i="3"/>
  <c r="F40" i="3"/>
  <c r="D40" i="3"/>
  <c r="N39" i="3"/>
  <c r="G39" i="3"/>
  <c r="F39" i="3" s="1"/>
  <c r="D39" i="3"/>
  <c r="N38" i="3"/>
  <c r="G38" i="3"/>
  <c r="F38" i="3" s="1"/>
  <c r="D38" i="3"/>
  <c r="N37" i="3"/>
  <c r="G37" i="3"/>
  <c r="F37" i="3" s="1"/>
  <c r="D37" i="3"/>
  <c r="N36" i="3"/>
  <c r="G36" i="3"/>
  <c r="D36" i="3"/>
  <c r="N35" i="3"/>
  <c r="G35" i="3"/>
  <c r="F35" i="3" s="1"/>
  <c r="D35" i="3"/>
  <c r="N34" i="3"/>
  <c r="G34" i="3"/>
  <c r="F34" i="3" s="1"/>
  <c r="D34" i="3"/>
  <c r="N33" i="3"/>
  <c r="G33" i="3"/>
  <c r="F33" i="3" s="1"/>
  <c r="D33" i="3"/>
  <c r="N32" i="3"/>
  <c r="G32" i="3"/>
  <c r="F32" i="3" s="1"/>
  <c r="D32" i="3"/>
  <c r="N31" i="3"/>
  <c r="G31" i="3"/>
  <c r="F31" i="3" s="1"/>
  <c r="D31" i="3"/>
  <c r="N30" i="3"/>
  <c r="G30" i="3"/>
  <c r="F30" i="3"/>
  <c r="D30" i="3"/>
  <c r="N29" i="3"/>
  <c r="G29" i="3"/>
  <c r="F29" i="3" s="1"/>
  <c r="D29" i="3"/>
  <c r="N28" i="3"/>
  <c r="G28" i="3"/>
  <c r="F28" i="3" s="1"/>
  <c r="D28" i="3"/>
  <c r="N27" i="3"/>
  <c r="G27" i="3"/>
  <c r="F27" i="3"/>
  <c r="D27" i="3"/>
  <c r="N26" i="3"/>
  <c r="G26" i="3"/>
  <c r="F26" i="3" s="1"/>
  <c r="D26" i="3"/>
  <c r="N25" i="3"/>
  <c r="G25" i="3"/>
  <c r="F25" i="3"/>
  <c r="D25" i="3"/>
  <c r="N24" i="3"/>
  <c r="G24" i="3"/>
  <c r="F24" i="3" s="1"/>
  <c r="D24" i="3"/>
  <c r="N23" i="3"/>
  <c r="G23" i="3"/>
  <c r="F23" i="3" s="1"/>
  <c r="D23" i="3"/>
  <c r="N22" i="3"/>
  <c r="G22" i="3"/>
  <c r="F22" i="3" s="1"/>
  <c r="D22" i="3"/>
  <c r="N21" i="3"/>
  <c r="G21" i="3"/>
  <c r="F21" i="3" s="1"/>
  <c r="D21" i="3"/>
  <c r="N20" i="3"/>
  <c r="G20" i="3"/>
  <c r="D20" i="3"/>
  <c r="F20" i="3" s="1"/>
  <c r="N19" i="3"/>
  <c r="G19" i="3"/>
  <c r="I19" i="3" s="1"/>
  <c r="F19" i="3"/>
  <c r="H19" i="3" s="1"/>
  <c r="H20" i="3" s="1"/>
  <c r="H21" i="3" s="1"/>
  <c r="H22" i="3" s="1"/>
  <c r="H23" i="3" s="1"/>
  <c r="H24" i="3" s="1"/>
  <c r="H25" i="3" s="1"/>
  <c r="D19" i="3"/>
  <c r="N78" i="2"/>
  <c r="G78" i="2"/>
  <c r="D78" i="2"/>
  <c r="N77" i="2"/>
  <c r="G77" i="2"/>
  <c r="F77" i="2" s="1"/>
  <c r="D77" i="2"/>
  <c r="N76" i="2"/>
  <c r="G76" i="2"/>
  <c r="D76" i="2"/>
  <c r="N75" i="2"/>
  <c r="G75" i="2"/>
  <c r="D75" i="2"/>
  <c r="N74" i="2"/>
  <c r="G74" i="2"/>
  <c r="D74" i="2"/>
  <c r="N73" i="2"/>
  <c r="G73" i="2"/>
  <c r="F73" i="2" s="1"/>
  <c r="D73" i="2"/>
  <c r="N72" i="2"/>
  <c r="G72" i="2"/>
  <c r="F72" i="2" s="1"/>
  <c r="D72" i="2"/>
  <c r="N71" i="2"/>
  <c r="G71" i="2"/>
  <c r="D71" i="2"/>
  <c r="N70" i="2"/>
  <c r="G70" i="2"/>
  <c r="F70" i="2" s="1"/>
  <c r="D70" i="2"/>
  <c r="N69" i="2"/>
  <c r="G69" i="2"/>
  <c r="F69" i="2" s="1"/>
  <c r="D69" i="2"/>
  <c r="N68" i="2"/>
  <c r="G68" i="2"/>
  <c r="D68" i="2"/>
  <c r="N67" i="2"/>
  <c r="G67" i="2"/>
  <c r="F67" i="2"/>
  <c r="D67" i="2"/>
  <c r="N66" i="2"/>
  <c r="G66" i="2"/>
  <c r="D66" i="2"/>
  <c r="N65" i="2"/>
  <c r="G65" i="2"/>
  <c r="F65" i="2" s="1"/>
  <c r="D65" i="2"/>
  <c r="N64" i="2"/>
  <c r="G64" i="2"/>
  <c r="F64" i="2" s="1"/>
  <c r="D64" i="2"/>
  <c r="N63" i="2"/>
  <c r="G63" i="2"/>
  <c r="D63" i="2"/>
  <c r="N62" i="2"/>
  <c r="G62" i="2"/>
  <c r="D62" i="2"/>
  <c r="F62" i="2" s="1"/>
  <c r="N61" i="2"/>
  <c r="G61" i="2"/>
  <c r="D61" i="2"/>
  <c r="N60" i="2"/>
  <c r="G60" i="2"/>
  <c r="D60" i="2"/>
  <c r="N59" i="2"/>
  <c r="G59" i="2"/>
  <c r="D59" i="2"/>
  <c r="N58" i="2"/>
  <c r="G58" i="2"/>
  <c r="F58" i="2" s="1"/>
  <c r="D58" i="2"/>
  <c r="N57" i="2"/>
  <c r="G57" i="2"/>
  <c r="F57" i="2" s="1"/>
  <c r="D57" i="2"/>
  <c r="N56" i="2"/>
  <c r="G56" i="2"/>
  <c r="D56" i="2"/>
  <c r="N55" i="2"/>
  <c r="G55" i="2"/>
  <c r="F55" i="2" s="1"/>
  <c r="D55" i="2"/>
  <c r="N54" i="2"/>
  <c r="G54" i="2"/>
  <c r="F54" i="2" s="1"/>
  <c r="D54" i="2"/>
  <c r="N53" i="2"/>
  <c r="G53" i="2"/>
  <c r="F53" i="2" s="1"/>
  <c r="D53" i="2"/>
  <c r="N52" i="2"/>
  <c r="G52" i="2"/>
  <c r="D52" i="2"/>
  <c r="N51" i="2"/>
  <c r="G51" i="2"/>
  <c r="D51" i="2"/>
  <c r="N50" i="2"/>
  <c r="G50" i="2"/>
  <c r="D50" i="2"/>
  <c r="N49" i="2"/>
  <c r="G49" i="2"/>
  <c r="F49" i="2" s="1"/>
  <c r="D49" i="2"/>
  <c r="N48" i="2"/>
  <c r="G48" i="2"/>
  <c r="F48" i="2" s="1"/>
  <c r="D48" i="2"/>
  <c r="N47" i="2"/>
  <c r="G47" i="2"/>
  <c r="D47" i="2"/>
  <c r="N46" i="2"/>
  <c r="G46" i="2"/>
  <c r="F46" i="2" s="1"/>
  <c r="D46" i="2"/>
  <c r="N45" i="2"/>
  <c r="G45" i="2"/>
  <c r="F45" i="2" s="1"/>
  <c r="D45" i="2"/>
  <c r="N44" i="2"/>
  <c r="G44" i="2"/>
  <c r="D44" i="2"/>
  <c r="F44" i="2" s="1"/>
  <c r="N43" i="2"/>
  <c r="G43" i="2"/>
  <c r="F43" i="2" s="1"/>
  <c r="D43" i="2"/>
  <c r="N42" i="2"/>
  <c r="G42" i="2"/>
  <c r="F42" i="2" s="1"/>
  <c r="D42" i="2"/>
  <c r="N41" i="2"/>
  <c r="G41" i="2"/>
  <c r="F41" i="2" s="1"/>
  <c r="D41" i="2"/>
  <c r="N40" i="2"/>
  <c r="G40" i="2"/>
  <c r="F40" i="2" s="1"/>
  <c r="D40" i="2"/>
  <c r="N39" i="2"/>
  <c r="G39" i="2"/>
  <c r="D39" i="2"/>
  <c r="N38" i="2"/>
  <c r="G38" i="2"/>
  <c r="D38" i="2"/>
  <c r="N37" i="2"/>
  <c r="G37" i="2"/>
  <c r="D37" i="2"/>
  <c r="N36" i="2"/>
  <c r="G36" i="2"/>
  <c r="F36" i="2" s="1"/>
  <c r="D36" i="2"/>
  <c r="N35" i="2"/>
  <c r="G35" i="2"/>
  <c r="F35" i="2" s="1"/>
  <c r="D35" i="2"/>
  <c r="N34" i="2"/>
  <c r="G34" i="2"/>
  <c r="F34" i="2" s="1"/>
  <c r="D34" i="2"/>
  <c r="N33" i="2"/>
  <c r="G33" i="2"/>
  <c r="D33" i="2"/>
  <c r="N32" i="2"/>
  <c r="G32" i="2"/>
  <c r="D32" i="2"/>
  <c r="N31" i="2"/>
  <c r="G31" i="2"/>
  <c r="F31" i="2" s="1"/>
  <c r="D31" i="2"/>
  <c r="N30" i="2"/>
  <c r="G30" i="2"/>
  <c r="D30" i="2"/>
  <c r="N29" i="2"/>
  <c r="G29" i="2"/>
  <c r="F29" i="2" s="1"/>
  <c r="D29" i="2"/>
  <c r="N28" i="2"/>
  <c r="G28" i="2"/>
  <c r="D28" i="2"/>
  <c r="N27" i="2"/>
  <c r="G27" i="2"/>
  <c r="D27" i="2"/>
  <c r="N26" i="2"/>
  <c r="G26" i="2"/>
  <c r="D26" i="2"/>
  <c r="N25" i="2"/>
  <c r="G25" i="2"/>
  <c r="D25" i="2"/>
  <c r="N24" i="2"/>
  <c r="G24" i="2"/>
  <c r="F24" i="2" s="1"/>
  <c r="D24" i="2"/>
  <c r="N23" i="2"/>
  <c r="G23" i="2"/>
  <c r="D23" i="2"/>
  <c r="N22" i="2"/>
  <c r="G22" i="2"/>
  <c r="D22" i="2"/>
  <c r="N21" i="2"/>
  <c r="G21" i="2"/>
  <c r="D21" i="2"/>
  <c r="N20" i="2"/>
  <c r="G20" i="2"/>
  <c r="D20" i="2"/>
  <c r="N19" i="2"/>
  <c r="G19" i="2"/>
  <c r="I19" i="2" s="1"/>
  <c r="D19" i="2"/>
  <c r="N78" i="1"/>
  <c r="G78" i="1"/>
  <c r="D78" i="1"/>
  <c r="N77" i="1"/>
  <c r="G77" i="1"/>
  <c r="D77" i="1"/>
  <c r="N76" i="1"/>
  <c r="G76" i="1"/>
  <c r="D76" i="1"/>
  <c r="N75" i="1"/>
  <c r="G75" i="1"/>
  <c r="D75" i="1"/>
  <c r="N74" i="1"/>
  <c r="G74" i="1"/>
  <c r="D74" i="1"/>
  <c r="N73" i="1"/>
  <c r="G73" i="1"/>
  <c r="F73" i="1" s="1"/>
  <c r="D73" i="1"/>
  <c r="N72" i="1"/>
  <c r="G72" i="1"/>
  <c r="D72" i="1"/>
  <c r="N71" i="1"/>
  <c r="G71" i="1"/>
  <c r="D71" i="1"/>
  <c r="N70" i="1"/>
  <c r="G70" i="1"/>
  <c r="F70" i="1" s="1"/>
  <c r="D70" i="1"/>
  <c r="N69" i="1"/>
  <c r="G69" i="1"/>
  <c r="F69" i="1" s="1"/>
  <c r="D69" i="1"/>
  <c r="N68" i="1"/>
  <c r="G68" i="1"/>
  <c r="D68" i="1"/>
  <c r="N67" i="1"/>
  <c r="G67" i="1"/>
  <c r="D67" i="1"/>
  <c r="N66" i="1"/>
  <c r="G66" i="1"/>
  <c r="D66" i="1"/>
  <c r="N65" i="1"/>
  <c r="G65" i="1"/>
  <c r="D65" i="1"/>
  <c r="N64" i="1"/>
  <c r="G64" i="1"/>
  <c r="D64" i="1"/>
  <c r="N63" i="1"/>
  <c r="G63" i="1"/>
  <c r="D63" i="1"/>
  <c r="N62" i="1"/>
  <c r="G62" i="1"/>
  <c r="F62" i="1" s="1"/>
  <c r="D62" i="1"/>
  <c r="N61" i="1"/>
  <c r="G61" i="1"/>
  <c r="D61" i="1"/>
  <c r="N60" i="1"/>
  <c r="G60" i="1"/>
  <c r="D60" i="1"/>
  <c r="N59" i="1"/>
  <c r="G59" i="1"/>
  <c r="D59" i="1"/>
  <c r="N58" i="1"/>
  <c r="G58" i="1"/>
  <c r="F58" i="1" s="1"/>
  <c r="D58" i="1"/>
  <c r="N57" i="1"/>
  <c r="G57" i="1"/>
  <c r="D57" i="1"/>
  <c r="N56" i="1"/>
  <c r="G56" i="1"/>
  <c r="D56" i="1"/>
  <c r="N55" i="1"/>
  <c r="G55" i="1"/>
  <c r="D55" i="1"/>
  <c r="N54" i="1"/>
  <c r="G54" i="1"/>
  <c r="D54" i="1"/>
  <c r="N53" i="1"/>
  <c r="G53" i="1"/>
  <c r="D53" i="1"/>
  <c r="N52" i="1"/>
  <c r="G52" i="1"/>
  <c r="D52" i="1"/>
  <c r="N51" i="1"/>
  <c r="G51" i="1"/>
  <c r="D51" i="1"/>
  <c r="N50" i="1"/>
  <c r="G50" i="1"/>
  <c r="D50" i="1"/>
  <c r="N49" i="1"/>
  <c r="G49" i="1"/>
  <c r="F49" i="1" s="1"/>
  <c r="D49" i="1"/>
  <c r="N48" i="1"/>
  <c r="G48" i="1"/>
  <c r="D48" i="1"/>
  <c r="N47" i="1"/>
  <c r="G47" i="1"/>
  <c r="D47" i="1"/>
  <c r="N46" i="1"/>
  <c r="G46" i="1"/>
  <c r="D46" i="1"/>
  <c r="N45" i="1"/>
  <c r="G45" i="1"/>
  <c r="F45" i="1" s="1"/>
  <c r="D45" i="1"/>
  <c r="N44" i="1"/>
  <c r="G44" i="1"/>
  <c r="D44" i="1"/>
  <c r="N43" i="1"/>
  <c r="G43" i="1"/>
  <c r="D43" i="1"/>
  <c r="N42" i="1"/>
  <c r="G42" i="1"/>
  <c r="D42" i="1"/>
  <c r="N41" i="1"/>
  <c r="G41" i="1"/>
  <c r="D41" i="1"/>
  <c r="N40" i="1"/>
  <c r="G40" i="1"/>
  <c r="D40" i="1"/>
  <c r="N39" i="1"/>
  <c r="G39" i="1"/>
  <c r="D39" i="1"/>
  <c r="N38" i="1"/>
  <c r="G38" i="1"/>
  <c r="D38" i="1"/>
  <c r="N37" i="1"/>
  <c r="G37" i="1"/>
  <c r="D37" i="1"/>
  <c r="N36" i="1"/>
  <c r="G36" i="1"/>
  <c r="D36" i="1"/>
  <c r="N35" i="1"/>
  <c r="G35" i="1"/>
  <c r="D35" i="1"/>
  <c r="N34" i="1"/>
  <c r="G34" i="1"/>
  <c r="D34" i="1"/>
  <c r="N33" i="1"/>
  <c r="G33" i="1"/>
  <c r="D33" i="1"/>
  <c r="N32" i="1"/>
  <c r="G32" i="1"/>
  <c r="D32" i="1"/>
  <c r="N31" i="1"/>
  <c r="G31" i="1"/>
  <c r="D31" i="1"/>
  <c r="N30" i="1"/>
  <c r="G30" i="1"/>
  <c r="D30" i="1"/>
  <c r="N29" i="1"/>
  <c r="G29" i="1"/>
  <c r="D29" i="1"/>
  <c r="N28" i="1"/>
  <c r="G28" i="1"/>
  <c r="D28" i="1"/>
  <c r="N27" i="1"/>
  <c r="G27" i="1"/>
  <c r="D27" i="1"/>
  <c r="N26" i="1"/>
  <c r="G26" i="1"/>
  <c r="D26" i="1"/>
  <c r="N25" i="1"/>
  <c r="G25" i="1"/>
  <c r="D25" i="1"/>
  <c r="N24" i="1"/>
  <c r="G24" i="1"/>
  <c r="D24" i="1"/>
  <c r="N23" i="1"/>
  <c r="G23" i="1"/>
  <c r="D23" i="1"/>
  <c r="N22" i="1"/>
  <c r="G22" i="1"/>
  <c r="D22" i="1"/>
  <c r="N21" i="1"/>
  <c r="G21" i="1"/>
  <c r="D21" i="1"/>
  <c r="N20" i="1"/>
  <c r="G20" i="1"/>
  <c r="D20" i="1"/>
  <c r="N19" i="1"/>
  <c r="G19" i="1"/>
  <c r="I19" i="1" s="1"/>
  <c r="D19" i="1"/>
  <c r="F71" i="1" l="1"/>
  <c r="F35" i="1"/>
  <c r="F47" i="1"/>
  <c r="F59" i="1"/>
  <c r="F75" i="1"/>
  <c r="F28" i="1"/>
  <c r="F60" i="1"/>
  <c r="F76" i="1"/>
  <c r="F77" i="1"/>
  <c r="F26" i="1"/>
  <c r="F30" i="1"/>
  <c r="F74" i="1"/>
  <c r="F43" i="1"/>
  <c r="F25" i="2"/>
  <c r="F75" i="2"/>
  <c r="F37" i="2"/>
  <c r="F56" i="2"/>
  <c r="F68" i="2"/>
  <c r="F26" i="2"/>
  <c r="F38" i="2"/>
  <c r="F61" i="2"/>
  <c r="F19" i="2"/>
  <c r="H19" i="2" s="1"/>
  <c r="J19" i="2" s="1"/>
  <c r="K19" i="2" s="1"/>
  <c r="F50" i="2"/>
  <c r="F39" i="2"/>
  <c r="F20" i="2"/>
  <c r="H20" i="2" s="1"/>
  <c r="H21" i="2" s="1"/>
  <c r="F51" i="2"/>
  <c r="F74" i="2"/>
  <c r="F32" i="2"/>
  <c r="F63" i="2"/>
  <c r="F33" i="2"/>
  <c r="F52" i="2"/>
  <c r="F71" i="2"/>
  <c r="F22" i="2"/>
  <c r="F60" i="2"/>
  <c r="F30" i="2"/>
  <c r="F23" i="2"/>
  <c r="F76" i="2"/>
  <c r="F27" i="2"/>
  <c r="F28" i="2"/>
  <c r="F47" i="2"/>
  <c r="F66" i="2"/>
  <c r="F21" i="2"/>
  <c r="F59" i="2"/>
  <c r="F78" i="2"/>
  <c r="F19" i="1"/>
  <c r="H19" i="1" s="1"/>
  <c r="J19" i="1" s="1"/>
  <c r="K19" i="1" s="1"/>
  <c r="F31" i="1"/>
  <c r="F39" i="1"/>
  <c r="F51" i="1"/>
  <c r="F55" i="1"/>
  <c r="F63" i="1"/>
  <c r="F67" i="1"/>
  <c r="F32" i="1"/>
  <c r="F68" i="1"/>
  <c r="F25" i="1"/>
  <c r="F37" i="1"/>
  <c r="F61" i="1"/>
  <c r="F40" i="1"/>
  <c r="F78" i="1"/>
  <c r="F48" i="1"/>
  <c r="F33" i="1"/>
  <c r="F52" i="1"/>
  <c r="F36" i="1"/>
  <c r="F21" i="1"/>
  <c r="F29" i="1"/>
  <c r="F22" i="1"/>
  <c r="F41" i="1"/>
  <c r="F64" i="1"/>
  <c r="F34" i="1"/>
  <c r="F53" i="1"/>
  <c r="F72" i="1"/>
  <c r="F38" i="1"/>
  <c r="F42" i="1"/>
  <c r="F57" i="1"/>
  <c r="F23" i="1"/>
  <c r="F27" i="1"/>
  <c r="F46" i="1"/>
  <c r="F65" i="1"/>
  <c r="F50" i="1"/>
  <c r="F54" i="1"/>
  <c r="F24" i="1"/>
  <c r="F66" i="1"/>
  <c r="H26" i="3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I20" i="3"/>
  <c r="J19" i="3"/>
  <c r="I20" i="2"/>
  <c r="I20" i="1"/>
  <c r="F44" i="1"/>
  <c r="F36" i="3"/>
  <c r="I21" i="4"/>
  <c r="J20" i="4"/>
  <c r="F56" i="1"/>
  <c r="H20" i="4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F20" i="1"/>
  <c r="H20" i="1" s="1"/>
  <c r="J19" i="4"/>
  <c r="K19" i="4" s="1"/>
  <c r="H22" i="2" l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K20" i="4"/>
  <c r="O19" i="3"/>
  <c r="P19" i="3" s="1"/>
  <c r="L19" i="3"/>
  <c r="M19" i="3" s="1"/>
  <c r="Q19" i="3"/>
  <c r="I21" i="3"/>
  <c r="J20" i="3"/>
  <c r="O19" i="4"/>
  <c r="P19" i="4" s="1"/>
  <c r="L19" i="4"/>
  <c r="M19" i="4" s="1"/>
  <c r="Q19" i="4"/>
  <c r="K19" i="3"/>
  <c r="O19" i="1"/>
  <c r="P19" i="1" s="1"/>
  <c r="L19" i="1"/>
  <c r="M19" i="1" s="1"/>
  <c r="Q19" i="1"/>
  <c r="O19" i="2"/>
  <c r="P19" i="2" s="1"/>
  <c r="L19" i="2"/>
  <c r="M19" i="2" s="1"/>
  <c r="Q19" i="2"/>
  <c r="O20" i="4"/>
  <c r="L20" i="4"/>
  <c r="M20" i="4" s="1"/>
  <c r="Q20" i="4"/>
  <c r="P20" i="4"/>
  <c r="K21" i="4"/>
  <c r="I22" i="4"/>
  <c r="J21" i="4"/>
  <c r="K20" i="1"/>
  <c r="I21" i="1"/>
  <c r="J20" i="1"/>
  <c r="I21" i="2"/>
  <c r="J20" i="2"/>
  <c r="O20" i="2" l="1"/>
  <c r="L20" i="2"/>
  <c r="M20" i="2" s="1"/>
  <c r="P20" i="2"/>
  <c r="Q20" i="2"/>
  <c r="O20" i="3"/>
  <c r="P20" i="3" s="1"/>
  <c r="Q20" i="3"/>
  <c r="L20" i="3"/>
  <c r="M20" i="3" s="1"/>
  <c r="I22" i="3"/>
  <c r="J21" i="3"/>
  <c r="K21" i="3" s="1"/>
  <c r="O20" i="1"/>
  <c r="P20" i="1" s="1"/>
  <c r="L20" i="1"/>
  <c r="M20" i="1" s="1"/>
  <c r="Q20" i="1"/>
  <c r="K20" i="3"/>
  <c r="I22" i="2"/>
  <c r="J21" i="2"/>
  <c r="K20" i="2"/>
  <c r="J21" i="1"/>
  <c r="I22" i="1"/>
  <c r="L21" i="4"/>
  <c r="M21" i="4" s="1"/>
  <c r="Q21" i="4"/>
  <c r="P21" i="4"/>
  <c r="O21" i="4"/>
  <c r="I23" i="4"/>
  <c r="J22" i="4"/>
  <c r="L21" i="1" l="1"/>
  <c r="M21" i="1" s="1"/>
  <c r="Q21" i="1"/>
  <c r="O21" i="1"/>
  <c r="P21" i="1" s="1"/>
  <c r="I23" i="3"/>
  <c r="J22" i="3"/>
  <c r="I23" i="2"/>
  <c r="J22" i="2"/>
  <c r="K22" i="2" s="1"/>
  <c r="L21" i="2"/>
  <c r="M21" i="2" s="1"/>
  <c r="Q21" i="2"/>
  <c r="O21" i="2"/>
  <c r="P21" i="2" s="1"/>
  <c r="I24" i="4"/>
  <c r="J23" i="4"/>
  <c r="K21" i="2"/>
  <c r="I23" i="1"/>
  <c r="J22" i="1"/>
  <c r="K21" i="1"/>
  <c r="L21" i="3"/>
  <c r="M21" i="3" s="1"/>
  <c r="Q21" i="3"/>
  <c r="O21" i="3"/>
  <c r="P21" i="3" s="1"/>
  <c r="L22" i="4"/>
  <c r="M22" i="4" s="1"/>
  <c r="Q22" i="4"/>
  <c r="O22" i="4"/>
  <c r="P22" i="4" s="1"/>
  <c r="K22" i="4"/>
  <c r="I24" i="2" l="1"/>
  <c r="J23" i="2"/>
  <c r="L22" i="3"/>
  <c r="M22" i="3" s="1"/>
  <c r="O22" i="3"/>
  <c r="P22" i="3" s="1"/>
  <c r="Q22" i="3"/>
  <c r="I24" i="3"/>
  <c r="J23" i="3"/>
  <c r="L23" i="4"/>
  <c r="M23" i="4" s="1"/>
  <c r="Q23" i="4"/>
  <c r="P23" i="4"/>
  <c r="O23" i="4"/>
  <c r="K22" i="3"/>
  <c r="L22" i="2"/>
  <c r="M22" i="2" s="1"/>
  <c r="O22" i="2"/>
  <c r="P22" i="2" s="1"/>
  <c r="Q22" i="2"/>
  <c r="I25" i="4"/>
  <c r="J24" i="4"/>
  <c r="K24" i="4" s="1"/>
  <c r="I24" i="1"/>
  <c r="J23" i="1"/>
  <c r="K23" i="4"/>
  <c r="L22" i="1"/>
  <c r="M22" i="1" s="1"/>
  <c r="O22" i="1"/>
  <c r="P22" i="1" s="1"/>
  <c r="Q22" i="1"/>
  <c r="K22" i="1"/>
  <c r="L23" i="3" l="1"/>
  <c r="M23" i="3" s="1"/>
  <c r="O23" i="3"/>
  <c r="P23" i="3" s="1"/>
  <c r="Q23" i="3"/>
  <c r="I25" i="3"/>
  <c r="J24" i="3"/>
  <c r="K23" i="3"/>
  <c r="I25" i="1"/>
  <c r="J24" i="1"/>
  <c r="K24" i="1" s="1"/>
  <c r="I26" i="4"/>
  <c r="J25" i="4"/>
  <c r="L23" i="2"/>
  <c r="M23" i="2" s="1"/>
  <c r="O23" i="2"/>
  <c r="P23" i="2" s="1"/>
  <c r="Q23" i="2"/>
  <c r="L23" i="1"/>
  <c r="M23" i="1" s="1"/>
  <c r="O23" i="1"/>
  <c r="P23" i="1" s="1"/>
  <c r="Q23" i="1"/>
  <c r="Q24" i="4"/>
  <c r="O24" i="4"/>
  <c r="P24" i="4" s="1"/>
  <c r="L24" i="4"/>
  <c r="M24" i="4" s="1"/>
  <c r="I25" i="2"/>
  <c r="J24" i="2"/>
  <c r="K23" i="1"/>
  <c r="K23" i="2"/>
  <c r="Q25" i="4" l="1"/>
  <c r="O25" i="4"/>
  <c r="P25" i="4" s="1"/>
  <c r="L25" i="4"/>
  <c r="M25" i="4" s="1"/>
  <c r="Q24" i="3"/>
  <c r="O24" i="3"/>
  <c r="P24" i="3" s="1"/>
  <c r="L24" i="3"/>
  <c r="M24" i="3" s="1"/>
  <c r="Q24" i="1"/>
  <c r="O24" i="1"/>
  <c r="P24" i="1" s="1"/>
  <c r="L24" i="1"/>
  <c r="M24" i="1" s="1"/>
  <c r="I26" i="3"/>
  <c r="J25" i="3"/>
  <c r="I27" i="4"/>
  <c r="J26" i="4"/>
  <c r="K26" i="4" s="1"/>
  <c r="K24" i="3"/>
  <c r="I26" i="1"/>
  <c r="J25" i="1"/>
  <c r="Q24" i="2"/>
  <c r="O24" i="2"/>
  <c r="P24" i="2" s="1"/>
  <c r="L24" i="2"/>
  <c r="M24" i="2" s="1"/>
  <c r="I26" i="2"/>
  <c r="J25" i="2"/>
  <c r="K25" i="2" s="1"/>
  <c r="K24" i="2"/>
  <c r="K25" i="4"/>
  <c r="L25" i="3" l="1"/>
  <c r="M25" i="3" s="1"/>
  <c r="Q25" i="3"/>
  <c r="O25" i="3"/>
  <c r="P25" i="3" s="1"/>
  <c r="L25" i="1"/>
  <c r="M25" i="1" s="1"/>
  <c r="Q25" i="1"/>
  <c r="O25" i="1"/>
  <c r="P25" i="1" s="1"/>
  <c r="I28" i="4"/>
  <c r="J27" i="4"/>
  <c r="K27" i="4" s="1"/>
  <c r="L25" i="2"/>
  <c r="M25" i="2" s="1"/>
  <c r="Q25" i="2"/>
  <c r="O25" i="2"/>
  <c r="P25" i="2" s="1"/>
  <c r="I27" i="3"/>
  <c r="J26" i="3"/>
  <c r="K26" i="3"/>
  <c r="K25" i="1"/>
  <c r="I27" i="1"/>
  <c r="J26" i="1"/>
  <c r="Q26" i="4"/>
  <c r="O26" i="4"/>
  <c r="P26" i="4" s="1"/>
  <c r="L26" i="4"/>
  <c r="M26" i="4" s="1"/>
  <c r="I27" i="2"/>
  <c r="J26" i="2"/>
  <c r="K26" i="2"/>
  <c r="K25" i="3"/>
  <c r="I29" i="4" l="1"/>
  <c r="J28" i="4"/>
  <c r="I28" i="1"/>
  <c r="J27" i="1"/>
  <c r="Q26" i="1"/>
  <c r="O26" i="1"/>
  <c r="P26" i="1" s="1"/>
  <c r="L26" i="1"/>
  <c r="M26" i="1" s="1"/>
  <c r="K26" i="1"/>
  <c r="Q26" i="3"/>
  <c r="O26" i="3"/>
  <c r="P26" i="3" s="1"/>
  <c r="L26" i="3"/>
  <c r="M26" i="3" s="1"/>
  <c r="Q27" i="4"/>
  <c r="O27" i="4"/>
  <c r="P27" i="4" s="1"/>
  <c r="L27" i="4"/>
  <c r="M27" i="4" s="1"/>
  <c r="Q26" i="2"/>
  <c r="O26" i="2"/>
  <c r="P26" i="2" s="1"/>
  <c r="L26" i="2"/>
  <c r="M26" i="2" s="1"/>
  <c r="I28" i="3"/>
  <c r="J27" i="3"/>
  <c r="K27" i="3"/>
  <c r="I28" i="2"/>
  <c r="J27" i="2"/>
  <c r="K27" i="2" s="1"/>
  <c r="Q27" i="1" l="1"/>
  <c r="O27" i="1"/>
  <c r="P27" i="1" s="1"/>
  <c r="L27" i="1"/>
  <c r="M27" i="1" s="1"/>
  <c r="J28" i="1"/>
  <c r="I29" i="1"/>
  <c r="K28" i="1"/>
  <c r="K27" i="1"/>
  <c r="Q28" i="4"/>
  <c r="O28" i="4"/>
  <c r="P28" i="4" s="1"/>
  <c r="L28" i="4"/>
  <c r="M28" i="4" s="1"/>
  <c r="Q27" i="2"/>
  <c r="O27" i="2"/>
  <c r="P27" i="2" s="1"/>
  <c r="L27" i="2"/>
  <c r="M27" i="2" s="1"/>
  <c r="I30" i="4"/>
  <c r="J29" i="4"/>
  <c r="Q27" i="3"/>
  <c r="O27" i="3"/>
  <c r="P27" i="3" s="1"/>
  <c r="L27" i="3"/>
  <c r="M27" i="3" s="1"/>
  <c r="J28" i="3"/>
  <c r="I29" i="3"/>
  <c r="K28" i="3"/>
  <c r="I29" i="2"/>
  <c r="J28" i="2"/>
  <c r="K28" i="2" s="1"/>
  <c r="K28" i="4"/>
  <c r="Q28" i="3" l="1"/>
  <c r="L28" i="3"/>
  <c r="M28" i="3" s="1"/>
  <c r="O28" i="3"/>
  <c r="P28" i="3" s="1"/>
  <c r="I31" i="4"/>
  <c r="J30" i="4"/>
  <c r="I30" i="1"/>
  <c r="J29" i="1"/>
  <c r="K29" i="1" s="1"/>
  <c r="Q28" i="1"/>
  <c r="O28" i="1"/>
  <c r="P28" i="1" s="1"/>
  <c r="L28" i="1"/>
  <c r="M28" i="1" s="1"/>
  <c r="J29" i="3"/>
  <c r="I30" i="3"/>
  <c r="K29" i="3"/>
  <c r="Q29" i="4"/>
  <c r="O29" i="4"/>
  <c r="P29" i="4" s="1"/>
  <c r="L29" i="4"/>
  <c r="M29" i="4" s="1"/>
  <c r="K29" i="4"/>
  <c r="Q28" i="2"/>
  <c r="O28" i="2"/>
  <c r="P28" i="2" s="1"/>
  <c r="L28" i="2"/>
  <c r="M28" i="2" s="1"/>
  <c r="I30" i="2"/>
  <c r="J29" i="2"/>
  <c r="Q30" i="4" l="1"/>
  <c r="O30" i="4"/>
  <c r="P30" i="4" s="1"/>
  <c r="L30" i="4"/>
  <c r="M30" i="4" s="1"/>
  <c r="Q29" i="1"/>
  <c r="O29" i="1"/>
  <c r="P29" i="1" s="1"/>
  <c r="L29" i="1"/>
  <c r="M29" i="1" s="1"/>
  <c r="I32" i="4"/>
  <c r="J31" i="4"/>
  <c r="K30" i="4"/>
  <c r="Q29" i="2"/>
  <c r="O29" i="2"/>
  <c r="P29" i="2" s="1"/>
  <c r="L29" i="2"/>
  <c r="M29" i="2" s="1"/>
  <c r="I31" i="1"/>
  <c r="J30" i="1"/>
  <c r="K30" i="1" s="1"/>
  <c r="I31" i="2"/>
  <c r="J30" i="2"/>
  <c r="K30" i="2" s="1"/>
  <c r="J30" i="3"/>
  <c r="I31" i="3"/>
  <c r="K30" i="3"/>
  <c r="K29" i="2"/>
  <c r="Q29" i="3"/>
  <c r="L29" i="3"/>
  <c r="M29" i="3" s="1"/>
  <c r="O29" i="3"/>
  <c r="P29" i="3" s="1"/>
  <c r="I33" i="4" l="1"/>
  <c r="J32" i="4"/>
  <c r="Q30" i="3"/>
  <c r="O30" i="3"/>
  <c r="P30" i="3" s="1"/>
  <c r="L30" i="3"/>
  <c r="M30" i="3" s="1"/>
  <c r="I32" i="1"/>
  <c r="J31" i="1"/>
  <c r="K31" i="1" s="1"/>
  <c r="O31" i="4"/>
  <c r="P31" i="4" s="1"/>
  <c r="L31" i="4"/>
  <c r="M31" i="4" s="1"/>
  <c r="Q31" i="4"/>
  <c r="J31" i="3"/>
  <c r="I32" i="3"/>
  <c r="I32" i="2"/>
  <c r="J31" i="2"/>
  <c r="Q30" i="1"/>
  <c r="O30" i="1"/>
  <c r="P30" i="1" s="1"/>
  <c r="L30" i="1"/>
  <c r="M30" i="1" s="1"/>
  <c r="Q30" i="2"/>
  <c r="O30" i="2"/>
  <c r="P30" i="2" s="1"/>
  <c r="L30" i="2"/>
  <c r="M30" i="2" s="1"/>
  <c r="K31" i="4"/>
  <c r="O31" i="1" l="1"/>
  <c r="P31" i="1" s="1"/>
  <c r="L31" i="1"/>
  <c r="M31" i="1" s="1"/>
  <c r="Q31" i="1"/>
  <c r="O31" i="2"/>
  <c r="P31" i="2" s="1"/>
  <c r="L31" i="2"/>
  <c r="M31" i="2" s="1"/>
  <c r="Q31" i="2"/>
  <c r="J32" i="3"/>
  <c r="I33" i="3"/>
  <c r="O31" i="3"/>
  <c r="P31" i="3" s="1"/>
  <c r="Q31" i="3"/>
  <c r="L31" i="3"/>
  <c r="M31" i="3" s="1"/>
  <c r="O32" i="4"/>
  <c r="L32" i="4"/>
  <c r="M32" i="4" s="1"/>
  <c r="Q32" i="4"/>
  <c r="P32" i="4"/>
  <c r="K31" i="3"/>
  <c r="I34" i="4"/>
  <c r="J33" i="4"/>
  <c r="K33" i="4" s="1"/>
  <c r="I33" i="1"/>
  <c r="J32" i="1"/>
  <c r="I33" i="2"/>
  <c r="J32" i="2"/>
  <c r="K31" i="2"/>
  <c r="K32" i="4"/>
  <c r="I34" i="1" l="1"/>
  <c r="J33" i="1"/>
  <c r="I35" i="4"/>
  <c r="J34" i="4"/>
  <c r="Q32" i="3"/>
  <c r="O32" i="3"/>
  <c r="P32" i="3" s="1"/>
  <c r="L32" i="3"/>
  <c r="M32" i="3" s="1"/>
  <c r="L33" i="4"/>
  <c r="M33" i="4" s="1"/>
  <c r="Q33" i="4"/>
  <c r="P33" i="4"/>
  <c r="O33" i="4"/>
  <c r="O32" i="2"/>
  <c r="P32" i="2" s="1"/>
  <c r="Q32" i="2"/>
  <c r="L32" i="2"/>
  <c r="M32" i="2" s="1"/>
  <c r="J33" i="3"/>
  <c r="I34" i="3"/>
  <c r="I34" i="2"/>
  <c r="J33" i="2"/>
  <c r="O32" i="1"/>
  <c r="P32" i="1" s="1"/>
  <c r="L32" i="1"/>
  <c r="M32" i="1" s="1"/>
  <c r="Q32" i="1"/>
  <c r="K32" i="1"/>
  <c r="K32" i="3"/>
  <c r="K32" i="2"/>
  <c r="L33" i="2" l="1"/>
  <c r="M33" i="2" s="1"/>
  <c r="O33" i="2"/>
  <c r="P33" i="2" s="1"/>
  <c r="Q33" i="2"/>
  <c r="L34" i="4"/>
  <c r="M34" i="4" s="1"/>
  <c r="Q34" i="4"/>
  <c r="O34" i="4"/>
  <c r="P34" i="4" s="1"/>
  <c r="I35" i="2"/>
  <c r="J34" i="2"/>
  <c r="K35" i="4"/>
  <c r="I36" i="4"/>
  <c r="J35" i="4"/>
  <c r="K34" i="4"/>
  <c r="L33" i="1"/>
  <c r="M33" i="1" s="1"/>
  <c r="Q33" i="1"/>
  <c r="O33" i="1"/>
  <c r="P33" i="1" s="1"/>
  <c r="K33" i="2"/>
  <c r="J34" i="3"/>
  <c r="I35" i="3"/>
  <c r="I35" i="1"/>
  <c r="J34" i="1"/>
  <c r="K34" i="1" s="1"/>
  <c r="O33" i="3"/>
  <c r="P33" i="3" s="1"/>
  <c r="Q33" i="3"/>
  <c r="L33" i="3"/>
  <c r="M33" i="3" s="1"/>
  <c r="K33" i="3"/>
  <c r="K33" i="1"/>
  <c r="L34" i="2" l="1"/>
  <c r="M34" i="2" s="1"/>
  <c r="Q34" i="2"/>
  <c r="O34" i="2"/>
  <c r="P34" i="2" s="1"/>
  <c r="I36" i="2"/>
  <c r="J35" i="2"/>
  <c r="K35" i="2" s="1"/>
  <c r="K34" i="2"/>
  <c r="J35" i="3"/>
  <c r="I36" i="3"/>
  <c r="I36" i="1"/>
  <c r="J35" i="1"/>
  <c r="K35" i="1" s="1"/>
  <c r="L34" i="3"/>
  <c r="M34" i="3" s="1"/>
  <c r="O34" i="3"/>
  <c r="P34" i="3" s="1"/>
  <c r="Q34" i="3"/>
  <c r="K34" i="3"/>
  <c r="L35" i="4"/>
  <c r="M35" i="4" s="1"/>
  <c r="Q35" i="4"/>
  <c r="O35" i="4"/>
  <c r="P35" i="4" s="1"/>
  <c r="L34" i="1"/>
  <c r="M34" i="1" s="1"/>
  <c r="O34" i="1"/>
  <c r="P34" i="1" s="1"/>
  <c r="Q34" i="1"/>
  <c r="I37" i="4"/>
  <c r="J36" i="4"/>
  <c r="Q35" i="3" l="1"/>
  <c r="L35" i="3"/>
  <c r="M35" i="3" s="1"/>
  <c r="O35" i="3"/>
  <c r="P35" i="3" s="1"/>
  <c r="K35" i="3"/>
  <c r="Q36" i="4"/>
  <c r="O36" i="4"/>
  <c r="P36" i="4" s="1"/>
  <c r="L36" i="4"/>
  <c r="M36" i="4" s="1"/>
  <c r="L35" i="2"/>
  <c r="M35" i="2" s="1"/>
  <c r="O35" i="2"/>
  <c r="Q35" i="2"/>
  <c r="P35" i="2"/>
  <c r="I37" i="2"/>
  <c r="J36" i="2"/>
  <c r="I38" i="4"/>
  <c r="J37" i="4"/>
  <c r="K37" i="4"/>
  <c r="K36" i="4"/>
  <c r="L35" i="1"/>
  <c r="M35" i="1" s="1"/>
  <c r="Q35" i="1"/>
  <c r="O35" i="1"/>
  <c r="P35" i="1" s="1"/>
  <c r="I37" i="3"/>
  <c r="J36" i="3"/>
  <c r="K36" i="1"/>
  <c r="I37" i="1"/>
  <c r="J36" i="1"/>
  <c r="I39" i="4" l="1"/>
  <c r="J38" i="4"/>
  <c r="Q36" i="3"/>
  <c r="O36" i="3"/>
  <c r="P36" i="3" s="1"/>
  <c r="L36" i="3"/>
  <c r="M36" i="3" s="1"/>
  <c r="Q36" i="1"/>
  <c r="O36" i="1"/>
  <c r="P36" i="1" s="1"/>
  <c r="L36" i="1"/>
  <c r="M36" i="1" s="1"/>
  <c r="Q36" i="2"/>
  <c r="O36" i="2"/>
  <c r="P36" i="2" s="1"/>
  <c r="L36" i="2"/>
  <c r="M36" i="2" s="1"/>
  <c r="I38" i="3"/>
  <c r="J37" i="3"/>
  <c r="K37" i="3" s="1"/>
  <c r="Q37" i="4"/>
  <c r="O37" i="4"/>
  <c r="P37" i="4" s="1"/>
  <c r="L37" i="4"/>
  <c r="M37" i="4" s="1"/>
  <c r="I38" i="1"/>
  <c r="J37" i="1"/>
  <c r="K37" i="1"/>
  <c r="I38" i="2"/>
  <c r="J37" i="2"/>
  <c r="K37" i="2"/>
  <c r="K36" i="3"/>
  <c r="K36" i="2"/>
  <c r="Q37" i="3" l="1"/>
  <c r="O37" i="3"/>
  <c r="P37" i="3" s="1"/>
  <c r="L37" i="3"/>
  <c r="M37" i="3" s="1"/>
  <c r="Q38" i="4"/>
  <c r="O38" i="4"/>
  <c r="P38" i="4" s="1"/>
  <c r="L38" i="4"/>
  <c r="M38" i="4" s="1"/>
  <c r="I39" i="2"/>
  <c r="J38" i="2"/>
  <c r="Q37" i="1"/>
  <c r="O37" i="1"/>
  <c r="P37" i="1" s="1"/>
  <c r="L37" i="1"/>
  <c r="M37" i="1" s="1"/>
  <c r="I39" i="1"/>
  <c r="J38" i="1"/>
  <c r="I39" i="3"/>
  <c r="J38" i="3"/>
  <c r="I40" i="4"/>
  <c r="J39" i="4"/>
  <c r="L37" i="2"/>
  <c r="M37" i="2" s="1"/>
  <c r="Q37" i="2"/>
  <c r="O37" i="2"/>
  <c r="P37" i="2" s="1"/>
  <c r="K38" i="4"/>
  <c r="Q38" i="3" l="1"/>
  <c r="O38" i="3"/>
  <c r="P38" i="3" s="1"/>
  <c r="L38" i="3"/>
  <c r="M38" i="3" s="1"/>
  <c r="K38" i="3"/>
  <c r="Q39" i="4"/>
  <c r="O39" i="4"/>
  <c r="P39" i="4" s="1"/>
  <c r="L39" i="4"/>
  <c r="M39" i="4" s="1"/>
  <c r="K39" i="4"/>
  <c r="I40" i="3"/>
  <c r="J39" i="3"/>
  <c r="K39" i="3" s="1"/>
  <c r="L38" i="1"/>
  <c r="M38" i="1" s="1"/>
  <c r="Q38" i="1"/>
  <c r="O38" i="1"/>
  <c r="P38" i="1" s="1"/>
  <c r="I41" i="4"/>
  <c r="J40" i="4"/>
  <c r="I40" i="1"/>
  <c r="J39" i="1"/>
  <c r="K39" i="1" s="1"/>
  <c r="J39" i="2"/>
  <c r="I40" i="2"/>
  <c r="K38" i="1"/>
  <c r="L38" i="2"/>
  <c r="M38" i="2" s="1"/>
  <c r="Q38" i="2"/>
  <c r="O38" i="2"/>
  <c r="P38" i="2" s="1"/>
  <c r="K38" i="2"/>
  <c r="Q39" i="2" l="1"/>
  <c r="O39" i="2"/>
  <c r="P39" i="2" s="1"/>
  <c r="L39" i="2"/>
  <c r="M39" i="2" s="1"/>
  <c r="K39" i="2"/>
  <c r="I41" i="3"/>
  <c r="J40" i="3"/>
  <c r="J40" i="1"/>
  <c r="K40" i="1" s="1"/>
  <c r="I41" i="1"/>
  <c r="K41" i="4"/>
  <c r="I42" i="4"/>
  <c r="J41" i="4"/>
  <c r="Q40" i="4"/>
  <c r="O40" i="4"/>
  <c r="P40" i="4" s="1"/>
  <c r="L40" i="4"/>
  <c r="M40" i="4" s="1"/>
  <c r="K40" i="4"/>
  <c r="Q39" i="3"/>
  <c r="O39" i="3"/>
  <c r="P39" i="3" s="1"/>
  <c r="L39" i="3"/>
  <c r="M39" i="3" s="1"/>
  <c r="I41" i="2"/>
  <c r="J40" i="2"/>
  <c r="Q39" i="1"/>
  <c r="O39" i="1"/>
  <c r="P39" i="1" s="1"/>
  <c r="L39" i="1"/>
  <c r="M39" i="1" s="1"/>
  <c r="Q40" i="2" l="1"/>
  <c r="O40" i="2"/>
  <c r="P40" i="2" s="1"/>
  <c r="L40" i="2"/>
  <c r="M40" i="2" s="1"/>
  <c r="Q40" i="3"/>
  <c r="O40" i="3"/>
  <c r="P40" i="3" s="1"/>
  <c r="L40" i="3"/>
  <c r="M40" i="3" s="1"/>
  <c r="I42" i="3"/>
  <c r="J41" i="3"/>
  <c r="K41" i="3" s="1"/>
  <c r="K40" i="3"/>
  <c r="I42" i="2"/>
  <c r="J41" i="2"/>
  <c r="K41" i="2" s="1"/>
  <c r="Q40" i="1"/>
  <c r="O40" i="1"/>
  <c r="P40" i="1" s="1"/>
  <c r="L40" i="1"/>
  <c r="M40" i="1" s="1"/>
  <c r="I42" i="1"/>
  <c r="J41" i="1"/>
  <c r="Q41" i="4"/>
  <c r="O41" i="4"/>
  <c r="P41" i="4" s="1"/>
  <c r="L41" i="4"/>
  <c r="M41" i="4" s="1"/>
  <c r="K40" i="2"/>
  <c r="I43" i="4"/>
  <c r="J42" i="4"/>
  <c r="K42" i="4" s="1"/>
  <c r="Q41" i="3" l="1"/>
  <c r="O41" i="3"/>
  <c r="P41" i="3" s="1"/>
  <c r="L41" i="3"/>
  <c r="M41" i="3" s="1"/>
  <c r="Q41" i="1"/>
  <c r="O41" i="1"/>
  <c r="P41" i="1" s="1"/>
  <c r="L41" i="1"/>
  <c r="M41" i="1" s="1"/>
  <c r="I43" i="3"/>
  <c r="J42" i="3"/>
  <c r="K41" i="1"/>
  <c r="K43" i="4"/>
  <c r="I44" i="4"/>
  <c r="J43" i="4"/>
  <c r="Q41" i="2"/>
  <c r="O41" i="2"/>
  <c r="P41" i="2" s="1"/>
  <c r="L41" i="2"/>
  <c r="M41" i="2" s="1"/>
  <c r="I43" i="1"/>
  <c r="J42" i="1"/>
  <c r="Q42" i="4"/>
  <c r="O42" i="4"/>
  <c r="P42" i="4" s="1"/>
  <c r="L42" i="4"/>
  <c r="M42" i="4" s="1"/>
  <c r="I43" i="2"/>
  <c r="J42" i="2"/>
  <c r="I44" i="3" l="1"/>
  <c r="J43" i="3"/>
  <c r="I44" i="1"/>
  <c r="J43" i="1"/>
  <c r="Q42" i="3"/>
  <c r="O42" i="3"/>
  <c r="P42" i="3" s="1"/>
  <c r="L42" i="3"/>
  <c r="M42" i="3" s="1"/>
  <c r="K42" i="3"/>
  <c r="I44" i="2"/>
  <c r="J43" i="2"/>
  <c r="K43" i="2" s="1"/>
  <c r="I45" i="4"/>
  <c r="J44" i="4"/>
  <c r="Q42" i="1"/>
  <c r="O42" i="1"/>
  <c r="P42" i="1" s="1"/>
  <c r="L42" i="1"/>
  <c r="M42" i="1" s="1"/>
  <c r="K42" i="1"/>
  <c r="Q42" i="2"/>
  <c r="O42" i="2"/>
  <c r="P42" i="2" s="1"/>
  <c r="L42" i="2"/>
  <c r="M42" i="2" s="1"/>
  <c r="K42" i="2"/>
  <c r="O43" i="4"/>
  <c r="P43" i="4" s="1"/>
  <c r="L43" i="4"/>
  <c r="M43" i="4" s="1"/>
  <c r="Q43" i="4"/>
  <c r="O43" i="1" l="1"/>
  <c r="P43" i="1" s="1"/>
  <c r="L43" i="1"/>
  <c r="M43" i="1" s="1"/>
  <c r="Q43" i="1"/>
  <c r="I45" i="1"/>
  <c r="J44" i="1"/>
  <c r="O44" i="4"/>
  <c r="L44" i="4"/>
  <c r="M44" i="4" s="1"/>
  <c r="Q44" i="4"/>
  <c r="P44" i="4"/>
  <c r="K43" i="1"/>
  <c r="K45" i="4"/>
  <c r="I46" i="4"/>
  <c r="J45" i="4"/>
  <c r="O43" i="3"/>
  <c r="P43" i="3" s="1"/>
  <c r="L43" i="3"/>
  <c r="M43" i="3" s="1"/>
  <c r="Q43" i="3"/>
  <c r="I45" i="2"/>
  <c r="J44" i="2"/>
  <c r="K44" i="2" s="1"/>
  <c r="K44" i="4"/>
  <c r="I45" i="3"/>
  <c r="J44" i="3"/>
  <c r="K44" i="3" s="1"/>
  <c r="O43" i="2"/>
  <c r="P43" i="2" s="1"/>
  <c r="L43" i="2"/>
  <c r="M43" i="2" s="1"/>
  <c r="Q43" i="2"/>
  <c r="K43" i="3"/>
  <c r="O44" i="1" l="1"/>
  <c r="P44" i="1" s="1"/>
  <c r="Q44" i="1"/>
  <c r="L44" i="1"/>
  <c r="M44" i="1" s="1"/>
  <c r="I46" i="1"/>
  <c r="J45" i="1"/>
  <c r="K45" i="1" s="1"/>
  <c r="O44" i="2"/>
  <c r="Q44" i="2"/>
  <c r="L44" i="2"/>
  <c r="M44" i="2" s="1"/>
  <c r="P44" i="2"/>
  <c r="K44" i="1"/>
  <c r="K45" i="3"/>
  <c r="I46" i="3"/>
  <c r="J45" i="3"/>
  <c r="O44" i="3"/>
  <c r="P44" i="3" s="1"/>
  <c r="L44" i="3"/>
  <c r="M44" i="3" s="1"/>
  <c r="Q44" i="3"/>
  <c r="I46" i="2"/>
  <c r="J45" i="2"/>
  <c r="K45" i="2" s="1"/>
  <c r="L45" i="4"/>
  <c r="M45" i="4" s="1"/>
  <c r="Q45" i="4"/>
  <c r="O45" i="4"/>
  <c r="P45" i="4" s="1"/>
  <c r="I47" i="4"/>
  <c r="J46" i="4"/>
  <c r="I47" i="2" l="1"/>
  <c r="J46" i="2"/>
  <c r="I47" i="1"/>
  <c r="J46" i="1"/>
  <c r="Q45" i="2"/>
  <c r="L45" i="2"/>
  <c r="M45" i="2" s="1"/>
  <c r="O45" i="2"/>
  <c r="P45" i="2" s="1"/>
  <c r="L45" i="1"/>
  <c r="M45" i="1" s="1"/>
  <c r="Q45" i="1"/>
  <c r="O45" i="1"/>
  <c r="P45" i="1" s="1"/>
  <c r="I48" i="4"/>
  <c r="J47" i="4"/>
  <c r="K47" i="4" s="1"/>
  <c r="L45" i="3"/>
  <c r="M45" i="3" s="1"/>
  <c r="Q45" i="3"/>
  <c r="O45" i="3"/>
  <c r="P45" i="3" s="1"/>
  <c r="L46" i="4"/>
  <c r="M46" i="4" s="1"/>
  <c r="Q46" i="4"/>
  <c r="O46" i="4"/>
  <c r="P46" i="4" s="1"/>
  <c r="K46" i="4"/>
  <c r="I47" i="3"/>
  <c r="J46" i="3"/>
  <c r="L46" i="1" l="1"/>
  <c r="M46" i="1" s="1"/>
  <c r="O46" i="1"/>
  <c r="P46" i="1" s="1"/>
  <c r="Q46" i="1"/>
  <c r="I48" i="1"/>
  <c r="J47" i="1"/>
  <c r="K47" i="1" s="1"/>
  <c r="K46" i="1"/>
  <c r="L46" i="3"/>
  <c r="M46" i="3" s="1"/>
  <c r="Q46" i="3"/>
  <c r="O46" i="3"/>
  <c r="P46" i="3" s="1"/>
  <c r="L46" i="2"/>
  <c r="M46" i="2" s="1"/>
  <c r="O46" i="2"/>
  <c r="P46" i="2" s="1"/>
  <c r="Q46" i="2"/>
  <c r="I49" i="4"/>
  <c r="J48" i="4"/>
  <c r="I48" i="3"/>
  <c r="J47" i="3"/>
  <c r="I48" i="2"/>
  <c r="J47" i="2"/>
  <c r="K47" i="2" s="1"/>
  <c r="L47" i="4"/>
  <c r="M47" i="4" s="1"/>
  <c r="Q47" i="4"/>
  <c r="O47" i="4"/>
  <c r="P47" i="4" s="1"/>
  <c r="K46" i="3"/>
  <c r="K46" i="2"/>
  <c r="I49" i="3" l="1"/>
  <c r="J48" i="3"/>
  <c r="Q48" i="4"/>
  <c r="O48" i="4"/>
  <c r="P48" i="4" s="1"/>
  <c r="L48" i="4"/>
  <c r="M48" i="4" s="1"/>
  <c r="I49" i="1"/>
  <c r="J48" i="1"/>
  <c r="I50" i="4"/>
  <c r="J49" i="4"/>
  <c r="K48" i="4"/>
  <c r="I49" i="2"/>
  <c r="J48" i="2"/>
  <c r="L47" i="1"/>
  <c r="M47" i="1" s="1"/>
  <c r="O47" i="1"/>
  <c r="P47" i="1" s="1"/>
  <c r="Q47" i="1"/>
  <c r="L47" i="2"/>
  <c r="M47" i="2" s="1"/>
  <c r="O47" i="2"/>
  <c r="P47" i="2" s="1"/>
  <c r="Q47" i="2"/>
  <c r="L47" i="3"/>
  <c r="M47" i="3" s="1"/>
  <c r="Q47" i="3"/>
  <c r="O47" i="3"/>
  <c r="P47" i="3" s="1"/>
  <c r="K47" i="3"/>
  <c r="Q49" i="4" l="1"/>
  <c r="O49" i="4"/>
  <c r="P49" i="4" s="1"/>
  <c r="L49" i="4"/>
  <c r="M49" i="4" s="1"/>
  <c r="Q48" i="2"/>
  <c r="O48" i="2"/>
  <c r="P48" i="2" s="1"/>
  <c r="L48" i="2"/>
  <c r="M48" i="2" s="1"/>
  <c r="I50" i="2"/>
  <c r="J49" i="2"/>
  <c r="Q48" i="1"/>
  <c r="O48" i="1"/>
  <c r="P48" i="1" s="1"/>
  <c r="L48" i="1"/>
  <c r="M48" i="1" s="1"/>
  <c r="K48" i="2"/>
  <c r="Q48" i="3"/>
  <c r="O48" i="3"/>
  <c r="P48" i="3" s="1"/>
  <c r="L48" i="3"/>
  <c r="M48" i="3" s="1"/>
  <c r="I50" i="3"/>
  <c r="J49" i="3"/>
  <c r="K49" i="3"/>
  <c r="I51" i="4"/>
  <c r="J50" i="4"/>
  <c r="K50" i="4" s="1"/>
  <c r="I50" i="1"/>
  <c r="J49" i="1"/>
  <c r="K49" i="1" s="1"/>
  <c r="K48" i="1"/>
  <c r="K49" i="4"/>
  <c r="K48" i="3"/>
  <c r="L49" i="2" l="1"/>
  <c r="M49" i="2" s="1"/>
  <c r="Q49" i="2"/>
  <c r="O49" i="2"/>
  <c r="P49" i="2" s="1"/>
  <c r="K49" i="2"/>
  <c r="I51" i="3"/>
  <c r="J50" i="3"/>
  <c r="K50" i="3" s="1"/>
  <c r="I51" i="2"/>
  <c r="J50" i="2"/>
  <c r="K50" i="2" s="1"/>
  <c r="K51" i="4"/>
  <c r="I52" i="4"/>
  <c r="J51" i="4"/>
  <c r="Q50" i="4"/>
  <c r="O50" i="4"/>
  <c r="P50" i="4" s="1"/>
  <c r="L50" i="4"/>
  <c r="M50" i="4" s="1"/>
  <c r="Q49" i="3"/>
  <c r="O49" i="3"/>
  <c r="P49" i="3" s="1"/>
  <c r="L49" i="3"/>
  <c r="M49" i="3" s="1"/>
  <c r="L49" i="1"/>
  <c r="M49" i="1" s="1"/>
  <c r="Q49" i="1"/>
  <c r="O49" i="1"/>
  <c r="P49" i="1" s="1"/>
  <c r="I51" i="1"/>
  <c r="J50" i="1"/>
  <c r="I52" i="3" l="1"/>
  <c r="J51" i="3"/>
  <c r="Q50" i="1"/>
  <c r="L50" i="1"/>
  <c r="M50" i="1" s="1"/>
  <c r="O50" i="1"/>
  <c r="P50" i="1" s="1"/>
  <c r="I52" i="2"/>
  <c r="J51" i="2"/>
  <c r="K51" i="2" s="1"/>
  <c r="J51" i="1"/>
  <c r="I52" i="1"/>
  <c r="K51" i="1"/>
  <c r="Q51" i="4"/>
  <c r="O51" i="4"/>
  <c r="P51" i="4" s="1"/>
  <c r="L51" i="4"/>
  <c r="M51" i="4" s="1"/>
  <c r="L50" i="2"/>
  <c r="M50" i="2" s="1"/>
  <c r="Q50" i="2"/>
  <c r="O50" i="2"/>
  <c r="P50" i="2" s="1"/>
  <c r="Q50" i="3"/>
  <c r="O50" i="3"/>
  <c r="P50" i="3" s="1"/>
  <c r="L50" i="3"/>
  <c r="M50" i="3" s="1"/>
  <c r="K50" i="1"/>
  <c r="I53" i="4"/>
  <c r="J52" i="4"/>
  <c r="Q51" i="1" l="1"/>
  <c r="O51" i="1"/>
  <c r="P51" i="1" s="1"/>
  <c r="L51" i="1"/>
  <c r="M51" i="1" s="1"/>
  <c r="I53" i="2"/>
  <c r="J52" i="2"/>
  <c r="K52" i="2"/>
  <c r="Q51" i="3"/>
  <c r="O51" i="3"/>
  <c r="P51" i="3" s="1"/>
  <c r="L51" i="3"/>
  <c r="M51" i="3" s="1"/>
  <c r="Q51" i="2"/>
  <c r="O51" i="2"/>
  <c r="P51" i="2" s="1"/>
  <c r="L51" i="2"/>
  <c r="M51" i="2" s="1"/>
  <c r="I53" i="3"/>
  <c r="J52" i="3"/>
  <c r="J52" i="1"/>
  <c r="I53" i="1"/>
  <c r="Q52" i="4"/>
  <c r="O52" i="4"/>
  <c r="P52" i="4" s="1"/>
  <c r="L52" i="4"/>
  <c r="M52" i="4" s="1"/>
  <c r="K53" i="4"/>
  <c r="I54" i="4"/>
  <c r="J53" i="4"/>
  <c r="K52" i="4"/>
  <c r="K51" i="3"/>
  <c r="Q52" i="1" l="1"/>
  <c r="O52" i="1"/>
  <c r="P52" i="1" s="1"/>
  <c r="L52" i="1"/>
  <c r="M52" i="1" s="1"/>
  <c r="K52" i="1"/>
  <c r="Q52" i="2"/>
  <c r="O52" i="2"/>
  <c r="P52" i="2" s="1"/>
  <c r="L52" i="2"/>
  <c r="M52" i="2" s="1"/>
  <c r="Q52" i="3"/>
  <c r="O52" i="3"/>
  <c r="P52" i="3" s="1"/>
  <c r="L52" i="3"/>
  <c r="M52" i="3" s="1"/>
  <c r="K53" i="2"/>
  <c r="I54" i="2"/>
  <c r="J53" i="2"/>
  <c r="I54" i="3"/>
  <c r="J53" i="3"/>
  <c r="K53" i="3" s="1"/>
  <c r="I54" i="1"/>
  <c r="J53" i="1"/>
  <c r="K53" i="1" s="1"/>
  <c r="Q53" i="4"/>
  <c r="O53" i="4"/>
  <c r="P53" i="4" s="1"/>
  <c r="L53" i="4"/>
  <c r="M53" i="4" s="1"/>
  <c r="K52" i="3"/>
  <c r="I55" i="4"/>
  <c r="J54" i="4"/>
  <c r="Q53" i="1" l="1"/>
  <c r="O53" i="1"/>
  <c r="P53" i="1" s="1"/>
  <c r="L53" i="1"/>
  <c r="M53" i="1" s="1"/>
  <c r="Q54" i="4"/>
  <c r="O54" i="4"/>
  <c r="P54" i="4" s="1"/>
  <c r="L54" i="4"/>
  <c r="M54" i="4" s="1"/>
  <c r="I55" i="3"/>
  <c r="J54" i="3"/>
  <c r="K54" i="3" s="1"/>
  <c r="Q53" i="3"/>
  <c r="O53" i="3"/>
  <c r="P53" i="3" s="1"/>
  <c r="L53" i="3"/>
  <c r="M53" i="3" s="1"/>
  <c r="K54" i="4"/>
  <c r="Q53" i="2"/>
  <c r="O53" i="2"/>
  <c r="P53" i="2" s="1"/>
  <c r="L53" i="2"/>
  <c r="M53" i="2" s="1"/>
  <c r="I55" i="1"/>
  <c r="J54" i="1"/>
  <c r="I56" i="4"/>
  <c r="J55" i="4"/>
  <c r="I55" i="2"/>
  <c r="J54" i="2"/>
  <c r="O55" i="4" l="1"/>
  <c r="P55" i="4" s="1"/>
  <c r="L55" i="4"/>
  <c r="M55" i="4" s="1"/>
  <c r="Q55" i="4"/>
  <c r="K55" i="4"/>
  <c r="I57" i="4"/>
  <c r="J56" i="4"/>
  <c r="K56" i="4" s="1"/>
  <c r="I56" i="3"/>
  <c r="J55" i="3"/>
  <c r="K55" i="3" s="1"/>
  <c r="Q54" i="3"/>
  <c r="O54" i="3"/>
  <c r="P54" i="3" s="1"/>
  <c r="L54" i="3"/>
  <c r="M54" i="3" s="1"/>
  <c r="I56" i="1"/>
  <c r="J55" i="1"/>
  <c r="K55" i="1" s="1"/>
  <c r="I56" i="2"/>
  <c r="J55" i="2"/>
  <c r="K55" i="2" s="1"/>
  <c r="Q54" i="1"/>
  <c r="O54" i="1"/>
  <c r="P54" i="1" s="1"/>
  <c r="L54" i="1"/>
  <c r="M54" i="1" s="1"/>
  <c r="K54" i="1"/>
  <c r="Q54" i="2"/>
  <c r="O54" i="2"/>
  <c r="P54" i="2" s="1"/>
  <c r="L54" i="2"/>
  <c r="M54" i="2" s="1"/>
  <c r="K54" i="2"/>
  <c r="I58" i="4" l="1"/>
  <c r="J57" i="4"/>
  <c r="I57" i="2"/>
  <c r="J56" i="2"/>
  <c r="I57" i="3"/>
  <c r="J56" i="3"/>
  <c r="K56" i="3" s="1"/>
  <c r="I57" i="1"/>
  <c r="J56" i="1"/>
  <c r="K56" i="1" s="1"/>
  <c r="O55" i="2"/>
  <c r="P55" i="2" s="1"/>
  <c r="L55" i="2"/>
  <c r="M55" i="2" s="1"/>
  <c r="Q55" i="2"/>
  <c r="O55" i="3"/>
  <c r="P55" i="3" s="1"/>
  <c r="L55" i="3"/>
  <c r="M55" i="3" s="1"/>
  <c r="Q55" i="3"/>
  <c r="O56" i="4"/>
  <c r="L56" i="4"/>
  <c r="M56" i="4" s="1"/>
  <c r="Q56" i="4"/>
  <c r="P56" i="4"/>
  <c r="O55" i="1"/>
  <c r="P55" i="1" s="1"/>
  <c r="L55" i="1"/>
  <c r="M55" i="1" s="1"/>
  <c r="Q55" i="1"/>
  <c r="I58" i="1" l="1"/>
  <c r="J57" i="1"/>
  <c r="O56" i="1"/>
  <c r="P56" i="1" s="1"/>
  <c r="Q56" i="1"/>
  <c r="L56" i="1"/>
  <c r="M56" i="1" s="1"/>
  <c r="O56" i="2"/>
  <c r="Q56" i="2"/>
  <c r="L56" i="2"/>
  <c r="M56" i="2" s="1"/>
  <c r="P56" i="2"/>
  <c r="I58" i="2"/>
  <c r="J57" i="2"/>
  <c r="K57" i="2" s="1"/>
  <c r="K56" i="2"/>
  <c r="O56" i="3"/>
  <c r="P56" i="3" s="1"/>
  <c r="L56" i="3"/>
  <c r="M56" i="3" s="1"/>
  <c r="Q56" i="3"/>
  <c r="L57" i="4"/>
  <c r="M57" i="4" s="1"/>
  <c r="Q57" i="4"/>
  <c r="O57" i="4"/>
  <c r="P57" i="4" s="1"/>
  <c r="I59" i="4"/>
  <c r="J58" i="4"/>
  <c r="I58" i="3"/>
  <c r="J57" i="3"/>
  <c r="K57" i="4"/>
  <c r="I59" i="2" l="1"/>
  <c r="J58" i="2"/>
  <c r="L58" i="4"/>
  <c r="M58" i="4" s="1"/>
  <c r="Q58" i="4"/>
  <c r="O58" i="4"/>
  <c r="P58" i="4" s="1"/>
  <c r="K58" i="4"/>
  <c r="I60" i="4"/>
  <c r="J59" i="4"/>
  <c r="Q57" i="1"/>
  <c r="L57" i="1"/>
  <c r="M57" i="1" s="1"/>
  <c r="O57" i="1"/>
  <c r="P57" i="1" s="1"/>
  <c r="I59" i="1"/>
  <c r="J58" i="1"/>
  <c r="L57" i="3"/>
  <c r="M57" i="3" s="1"/>
  <c r="Q57" i="3"/>
  <c r="O57" i="3"/>
  <c r="P57" i="3" s="1"/>
  <c r="I59" i="3"/>
  <c r="J58" i="3"/>
  <c r="K57" i="3"/>
  <c r="Q57" i="2"/>
  <c r="L57" i="2"/>
  <c r="M57" i="2" s="1"/>
  <c r="O57" i="2"/>
  <c r="P57" i="2" s="1"/>
  <c r="K57" i="1"/>
  <c r="L58" i="3" l="1"/>
  <c r="M58" i="3" s="1"/>
  <c r="Q58" i="3"/>
  <c r="O58" i="3"/>
  <c r="P58" i="3" s="1"/>
  <c r="L59" i="4"/>
  <c r="M59" i="4" s="1"/>
  <c r="Q59" i="4"/>
  <c r="O59" i="4"/>
  <c r="P59" i="4" s="1"/>
  <c r="K58" i="3"/>
  <c r="L58" i="1"/>
  <c r="M58" i="1" s="1"/>
  <c r="O58" i="1"/>
  <c r="P58" i="1" s="1"/>
  <c r="Q58" i="1"/>
  <c r="K59" i="3"/>
  <c r="I60" i="3"/>
  <c r="J59" i="3"/>
  <c r="I60" i="1"/>
  <c r="J59" i="1"/>
  <c r="K58" i="1"/>
  <c r="O58" i="2"/>
  <c r="L58" i="2"/>
  <c r="M58" i="2" s="1"/>
  <c r="Q58" i="2"/>
  <c r="P58" i="2"/>
  <c r="K60" i="4"/>
  <c r="I61" i="4"/>
  <c r="J60" i="4"/>
  <c r="I60" i="2"/>
  <c r="J59" i="2"/>
  <c r="K59" i="4"/>
  <c r="K58" i="2"/>
  <c r="I62" i="4" l="1"/>
  <c r="J61" i="4"/>
  <c r="K61" i="4"/>
  <c r="L59" i="1"/>
  <c r="M59" i="1" s="1"/>
  <c r="O59" i="1"/>
  <c r="P59" i="1" s="1"/>
  <c r="Q59" i="1"/>
  <c r="I61" i="1"/>
  <c r="J60" i="1"/>
  <c r="K60" i="1" s="1"/>
  <c r="K59" i="1"/>
  <c r="L59" i="2"/>
  <c r="M59" i="2" s="1"/>
  <c r="O59" i="2"/>
  <c r="P59" i="2" s="1"/>
  <c r="Q59" i="2"/>
  <c r="I61" i="2"/>
  <c r="J60" i="2"/>
  <c r="K59" i="2"/>
  <c r="L59" i="3"/>
  <c r="M59" i="3" s="1"/>
  <c r="Q59" i="3"/>
  <c r="O59" i="3"/>
  <c r="P59" i="3" s="1"/>
  <c r="Q60" i="4"/>
  <c r="O60" i="4"/>
  <c r="P60" i="4" s="1"/>
  <c r="L60" i="4"/>
  <c r="M60" i="4" s="1"/>
  <c r="I61" i="3"/>
  <c r="J60" i="3"/>
  <c r="K60" i="3" s="1"/>
  <c r="Q60" i="1" l="1"/>
  <c r="O60" i="1"/>
  <c r="P60" i="1" s="1"/>
  <c r="L60" i="1"/>
  <c r="M60" i="1" s="1"/>
  <c r="I62" i="1"/>
  <c r="J61" i="1"/>
  <c r="K61" i="1" s="1"/>
  <c r="Q60" i="2"/>
  <c r="O60" i="2"/>
  <c r="P60" i="2" s="1"/>
  <c r="L60" i="2"/>
  <c r="M60" i="2" s="1"/>
  <c r="I62" i="2"/>
  <c r="J61" i="2"/>
  <c r="Q61" i="4"/>
  <c r="P61" i="4"/>
  <c r="O61" i="4"/>
  <c r="L61" i="4"/>
  <c r="M61" i="4" s="1"/>
  <c r="Q60" i="3"/>
  <c r="O60" i="3"/>
  <c r="P60" i="3" s="1"/>
  <c r="L60" i="3"/>
  <c r="M60" i="3" s="1"/>
  <c r="I62" i="3"/>
  <c r="J61" i="3"/>
  <c r="K61" i="3"/>
  <c r="K60" i="2"/>
  <c r="I63" i="4"/>
  <c r="J62" i="4"/>
  <c r="I63" i="2" l="1"/>
  <c r="J62" i="2"/>
  <c r="L61" i="1"/>
  <c r="M61" i="1" s="1"/>
  <c r="Q61" i="1"/>
  <c r="O61" i="1"/>
  <c r="P61" i="1" s="1"/>
  <c r="I63" i="1"/>
  <c r="J62" i="1"/>
  <c r="K62" i="1" s="1"/>
  <c r="Q61" i="3"/>
  <c r="O61" i="3"/>
  <c r="P61" i="3" s="1"/>
  <c r="L61" i="3"/>
  <c r="M61" i="3" s="1"/>
  <c r="Q62" i="4"/>
  <c r="O62" i="4"/>
  <c r="P62" i="4" s="1"/>
  <c r="L62" i="4"/>
  <c r="M62" i="4" s="1"/>
  <c r="Q61" i="2"/>
  <c r="O61" i="2"/>
  <c r="P61" i="2" s="1"/>
  <c r="L61" i="2"/>
  <c r="M61" i="2" s="1"/>
  <c r="I63" i="3"/>
  <c r="J62" i="3"/>
  <c r="K62" i="3" s="1"/>
  <c r="K63" i="4"/>
  <c r="I64" i="4"/>
  <c r="J63" i="4"/>
  <c r="K62" i="4"/>
  <c r="K61" i="2"/>
  <c r="J63" i="1" l="1"/>
  <c r="K63" i="1" s="1"/>
  <c r="I64" i="1"/>
  <c r="I64" i="3"/>
  <c r="J63" i="3"/>
  <c r="Q62" i="2"/>
  <c r="O62" i="2"/>
  <c r="P62" i="2" s="1"/>
  <c r="L62" i="2"/>
  <c r="M62" i="2" s="1"/>
  <c r="I64" i="2"/>
  <c r="J63" i="2"/>
  <c r="K63" i="2" s="1"/>
  <c r="Q62" i="3"/>
  <c r="O62" i="3"/>
  <c r="P62" i="3" s="1"/>
  <c r="L62" i="3"/>
  <c r="M62" i="3" s="1"/>
  <c r="Q62" i="1"/>
  <c r="O62" i="1"/>
  <c r="P62" i="1" s="1"/>
  <c r="L62" i="1"/>
  <c r="M62" i="1" s="1"/>
  <c r="Q63" i="4"/>
  <c r="O63" i="4"/>
  <c r="P63" i="4" s="1"/>
  <c r="L63" i="4"/>
  <c r="M63" i="4" s="1"/>
  <c r="K64" i="4"/>
  <c r="I65" i="4"/>
  <c r="J64" i="4"/>
  <c r="K62" i="2"/>
  <c r="J64" i="2" l="1"/>
  <c r="I65" i="2"/>
  <c r="K64" i="2"/>
  <c r="Q63" i="3"/>
  <c r="O63" i="3"/>
  <c r="P63" i="3" s="1"/>
  <c r="L63" i="3"/>
  <c r="M63" i="3" s="1"/>
  <c r="I65" i="3"/>
  <c r="J64" i="3"/>
  <c r="K64" i="3" s="1"/>
  <c r="K63" i="3"/>
  <c r="J64" i="1"/>
  <c r="K64" i="1"/>
  <c r="I65" i="1"/>
  <c r="Q64" i="4"/>
  <c r="O64" i="4"/>
  <c r="P64" i="4" s="1"/>
  <c r="L64" i="4"/>
  <c r="M64" i="4" s="1"/>
  <c r="I66" i="4"/>
  <c r="J65" i="4"/>
  <c r="Q63" i="2"/>
  <c r="O63" i="2"/>
  <c r="P63" i="2" s="1"/>
  <c r="L63" i="2"/>
  <c r="M63" i="2" s="1"/>
  <c r="Q63" i="1"/>
  <c r="O63" i="1"/>
  <c r="P63" i="1" s="1"/>
  <c r="L63" i="1"/>
  <c r="M63" i="1" s="1"/>
  <c r="Q65" i="4" l="1"/>
  <c r="O65" i="4"/>
  <c r="P65" i="4" s="1"/>
  <c r="L65" i="4"/>
  <c r="M65" i="4" s="1"/>
  <c r="I67" i="4"/>
  <c r="J66" i="4"/>
  <c r="Q64" i="1"/>
  <c r="O64" i="1"/>
  <c r="P64" i="1" s="1"/>
  <c r="L64" i="1"/>
  <c r="M64" i="1" s="1"/>
  <c r="K65" i="3"/>
  <c r="I66" i="3"/>
  <c r="J65" i="3"/>
  <c r="I66" i="2"/>
  <c r="J65" i="2"/>
  <c r="K65" i="2" s="1"/>
  <c r="Q64" i="3"/>
  <c r="O64" i="3"/>
  <c r="P64" i="3" s="1"/>
  <c r="L64" i="3"/>
  <c r="M64" i="3" s="1"/>
  <c r="K65" i="4"/>
  <c r="I66" i="1"/>
  <c r="J65" i="1"/>
  <c r="K65" i="1" s="1"/>
  <c r="Q64" i="2"/>
  <c r="O64" i="2"/>
  <c r="P64" i="2" s="1"/>
  <c r="L64" i="2"/>
  <c r="M64" i="2" s="1"/>
  <c r="Q66" i="4" l="1"/>
  <c r="O66" i="4"/>
  <c r="P66" i="4" s="1"/>
  <c r="L66" i="4"/>
  <c r="M66" i="4" s="1"/>
  <c r="I67" i="1"/>
  <c r="J66" i="1"/>
  <c r="I68" i="4"/>
  <c r="J67" i="4"/>
  <c r="K66" i="4"/>
  <c r="K66" i="3"/>
  <c r="I67" i="3"/>
  <c r="J66" i="3"/>
  <c r="Q65" i="1"/>
  <c r="O65" i="1"/>
  <c r="P65" i="1" s="1"/>
  <c r="L65" i="1"/>
  <c r="M65" i="1" s="1"/>
  <c r="Q65" i="2"/>
  <c r="O65" i="2"/>
  <c r="P65" i="2" s="1"/>
  <c r="L65" i="2"/>
  <c r="M65" i="2" s="1"/>
  <c r="I67" i="2"/>
  <c r="J66" i="2"/>
  <c r="Q65" i="3"/>
  <c r="O65" i="3"/>
  <c r="P65" i="3" s="1"/>
  <c r="L65" i="3"/>
  <c r="M65" i="3" s="1"/>
  <c r="Q66" i="1" l="1"/>
  <c r="O66" i="1"/>
  <c r="P66" i="1" s="1"/>
  <c r="L66" i="1"/>
  <c r="M66" i="1" s="1"/>
  <c r="O67" i="4"/>
  <c r="P67" i="4" s="1"/>
  <c r="L67" i="4"/>
  <c r="M67" i="4" s="1"/>
  <c r="Q67" i="4"/>
  <c r="K67" i="4"/>
  <c r="I68" i="1"/>
  <c r="J67" i="1"/>
  <c r="K66" i="1"/>
  <c r="I68" i="2"/>
  <c r="J67" i="2"/>
  <c r="I69" i="4"/>
  <c r="J68" i="4"/>
  <c r="Q66" i="3"/>
  <c r="O66" i="3"/>
  <c r="P66" i="3" s="1"/>
  <c r="L66" i="3"/>
  <c r="M66" i="3" s="1"/>
  <c r="Q66" i="2"/>
  <c r="O66" i="2"/>
  <c r="P66" i="2" s="1"/>
  <c r="L66" i="2"/>
  <c r="M66" i="2" s="1"/>
  <c r="K66" i="2"/>
  <c r="I68" i="3"/>
  <c r="J67" i="3"/>
  <c r="K67" i="3" s="1"/>
  <c r="O67" i="1" l="1"/>
  <c r="P67" i="1" s="1"/>
  <c r="L67" i="1"/>
  <c r="M67" i="1" s="1"/>
  <c r="Q67" i="1"/>
  <c r="K67" i="1"/>
  <c r="O68" i="4"/>
  <c r="L68" i="4"/>
  <c r="M68" i="4" s="1"/>
  <c r="Q68" i="4"/>
  <c r="P68" i="4"/>
  <c r="I69" i="3"/>
  <c r="J68" i="3"/>
  <c r="K68" i="4"/>
  <c r="O67" i="3"/>
  <c r="P67" i="3" s="1"/>
  <c r="L67" i="3"/>
  <c r="M67" i="3" s="1"/>
  <c r="Q67" i="3"/>
  <c r="I69" i="1"/>
  <c r="J68" i="1"/>
  <c r="K68" i="1" s="1"/>
  <c r="I70" i="4"/>
  <c r="J69" i="4"/>
  <c r="O67" i="2"/>
  <c r="P67" i="2" s="1"/>
  <c r="L67" i="2"/>
  <c r="M67" i="2" s="1"/>
  <c r="Q67" i="2"/>
  <c r="I69" i="2"/>
  <c r="J68" i="2"/>
  <c r="K67" i="2"/>
  <c r="I70" i="3" l="1"/>
  <c r="J69" i="3"/>
  <c r="O68" i="3"/>
  <c r="P68" i="3" s="1"/>
  <c r="L68" i="3"/>
  <c r="M68" i="3" s="1"/>
  <c r="Q68" i="3"/>
  <c r="I71" i="4"/>
  <c r="J70" i="4"/>
  <c r="K70" i="4" s="1"/>
  <c r="I70" i="1"/>
  <c r="J69" i="1"/>
  <c r="L69" i="4"/>
  <c r="M69" i="4" s="1"/>
  <c r="Q69" i="4"/>
  <c r="O69" i="4"/>
  <c r="P69" i="4" s="1"/>
  <c r="O68" i="1"/>
  <c r="P68" i="1" s="1"/>
  <c r="Q68" i="1"/>
  <c r="L68" i="1"/>
  <c r="M68" i="1" s="1"/>
  <c r="I70" i="2"/>
  <c r="J69" i="2"/>
  <c r="K68" i="3"/>
  <c r="K69" i="4"/>
  <c r="O68" i="2"/>
  <c r="P68" i="2" s="1"/>
  <c r="L68" i="2"/>
  <c r="M68" i="2" s="1"/>
  <c r="Q68" i="2"/>
  <c r="K68" i="2"/>
  <c r="I72" i="4" l="1"/>
  <c r="J71" i="4"/>
  <c r="L69" i="2"/>
  <c r="M69" i="2" s="1"/>
  <c r="Q69" i="2"/>
  <c r="O69" i="2"/>
  <c r="P69" i="2" s="1"/>
  <c r="L69" i="1"/>
  <c r="M69" i="1" s="1"/>
  <c r="O69" i="1"/>
  <c r="P69" i="1" s="1"/>
  <c r="Q69" i="1"/>
  <c r="K69" i="1"/>
  <c r="K69" i="2"/>
  <c r="L70" i="4"/>
  <c r="M70" i="4" s="1"/>
  <c r="Q70" i="4"/>
  <c r="O70" i="4"/>
  <c r="P70" i="4" s="1"/>
  <c r="L69" i="3"/>
  <c r="M69" i="3" s="1"/>
  <c r="Q69" i="3"/>
  <c r="O69" i="3"/>
  <c r="P69" i="3" s="1"/>
  <c r="I71" i="1"/>
  <c r="J70" i="1"/>
  <c r="K70" i="3"/>
  <c r="I71" i="3"/>
  <c r="J70" i="3"/>
  <c r="I71" i="2"/>
  <c r="J70" i="2"/>
  <c r="K69" i="3"/>
  <c r="I72" i="1" l="1"/>
  <c r="J71" i="1"/>
  <c r="L70" i="1"/>
  <c r="M70" i="1" s="1"/>
  <c r="O70" i="1"/>
  <c r="P70" i="1" s="1"/>
  <c r="Q70" i="1"/>
  <c r="K70" i="1"/>
  <c r="L70" i="2"/>
  <c r="M70" i="2" s="1"/>
  <c r="O70" i="2"/>
  <c r="P70" i="2" s="1"/>
  <c r="Q70" i="2"/>
  <c r="K71" i="3"/>
  <c r="I72" i="3"/>
  <c r="J71" i="3"/>
  <c r="I72" i="2"/>
  <c r="J71" i="2"/>
  <c r="K71" i="2" s="1"/>
  <c r="L71" i="4"/>
  <c r="M71" i="4" s="1"/>
  <c r="Q71" i="4"/>
  <c r="O71" i="4"/>
  <c r="P71" i="4" s="1"/>
  <c r="K70" i="2"/>
  <c r="K72" i="4"/>
  <c r="I73" i="4"/>
  <c r="J72" i="4"/>
  <c r="L70" i="3"/>
  <c r="M70" i="3" s="1"/>
  <c r="Q70" i="3"/>
  <c r="O70" i="3"/>
  <c r="P70" i="3" s="1"/>
  <c r="K71" i="4"/>
  <c r="L71" i="1" l="1"/>
  <c r="M71" i="1" s="1"/>
  <c r="O71" i="1"/>
  <c r="P71" i="1" s="1"/>
  <c r="Q71" i="1"/>
  <c r="L71" i="2"/>
  <c r="M71" i="2" s="1"/>
  <c r="Q71" i="2"/>
  <c r="O71" i="2"/>
  <c r="P71" i="2" s="1"/>
  <c r="I73" i="2"/>
  <c r="J72" i="2"/>
  <c r="L71" i="3"/>
  <c r="M71" i="3" s="1"/>
  <c r="Q71" i="3"/>
  <c r="O71" i="3"/>
  <c r="P71" i="3" s="1"/>
  <c r="I73" i="1"/>
  <c r="J72" i="1"/>
  <c r="I74" i="4"/>
  <c r="J73" i="4"/>
  <c r="K73" i="4" s="1"/>
  <c r="Q72" i="4"/>
  <c r="O72" i="4"/>
  <c r="P72" i="4" s="1"/>
  <c r="L72" i="4"/>
  <c r="M72" i="4" s="1"/>
  <c r="K72" i="3"/>
  <c r="I73" i="3"/>
  <c r="J72" i="3"/>
  <c r="K71" i="1"/>
  <c r="Q72" i="2" l="1"/>
  <c r="O72" i="2"/>
  <c r="P72" i="2" s="1"/>
  <c r="L72" i="2"/>
  <c r="M72" i="2" s="1"/>
  <c r="K72" i="2"/>
  <c r="I75" i="4"/>
  <c r="J74" i="4"/>
  <c r="K74" i="4" s="1"/>
  <c r="Q72" i="1"/>
  <c r="O72" i="1"/>
  <c r="P72" i="1" s="1"/>
  <c r="L72" i="1"/>
  <c r="M72" i="1" s="1"/>
  <c r="I74" i="1"/>
  <c r="J73" i="1"/>
  <c r="K73" i="1" s="1"/>
  <c r="Q73" i="4"/>
  <c r="O73" i="4"/>
  <c r="P73" i="4" s="1"/>
  <c r="L73" i="4"/>
  <c r="M73" i="4" s="1"/>
  <c r="Q72" i="3"/>
  <c r="O72" i="3"/>
  <c r="P72" i="3" s="1"/>
  <c r="L72" i="3"/>
  <c r="M72" i="3" s="1"/>
  <c r="K72" i="1"/>
  <c r="I74" i="2"/>
  <c r="J73" i="2"/>
  <c r="I74" i="3"/>
  <c r="J73" i="3"/>
  <c r="K73" i="3" s="1"/>
  <c r="L73" i="2" l="1"/>
  <c r="M73" i="2" s="1"/>
  <c r="Q73" i="2"/>
  <c r="O73" i="2"/>
  <c r="P73" i="2" s="1"/>
  <c r="I76" i="4"/>
  <c r="J75" i="4"/>
  <c r="I75" i="1"/>
  <c r="J74" i="1"/>
  <c r="K74" i="1" s="1"/>
  <c r="Q74" i="4"/>
  <c r="P74" i="4"/>
  <c r="O74" i="4"/>
  <c r="L74" i="4"/>
  <c r="M74" i="4" s="1"/>
  <c r="I75" i="3"/>
  <c r="J74" i="3"/>
  <c r="I75" i="2"/>
  <c r="J74" i="2"/>
  <c r="Q73" i="3"/>
  <c r="O73" i="3"/>
  <c r="P73" i="3" s="1"/>
  <c r="L73" i="3"/>
  <c r="M73" i="3" s="1"/>
  <c r="K73" i="2"/>
  <c r="L73" i="1"/>
  <c r="M73" i="1" s="1"/>
  <c r="Q73" i="1"/>
  <c r="O73" i="1"/>
  <c r="P73" i="1" s="1"/>
  <c r="Q75" i="4" l="1"/>
  <c r="O75" i="4"/>
  <c r="P75" i="4" s="1"/>
  <c r="L75" i="4"/>
  <c r="M75" i="4" s="1"/>
  <c r="Q74" i="2"/>
  <c r="O74" i="2"/>
  <c r="P74" i="2" s="1"/>
  <c r="L74" i="2"/>
  <c r="M74" i="2" s="1"/>
  <c r="I77" i="4"/>
  <c r="J76" i="4"/>
  <c r="I76" i="2"/>
  <c r="J75" i="2"/>
  <c r="K75" i="2" s="1"/>
  <c r="Q74" i="3"/>
  <c r="O74" i="3"/>
  <c r="P74" i="3" s="1"/>
  <c r="L74" i="3"/>
  <c r="M74" i="3" s="1"/>
  <c r="K75" i="4"/>
  <c r="Q74" i="1"/>
  <c r="L74" i="1"/>
  <c r="M74" i="1" s="1"/>
  <c r="O74" i="1"/>
  <c r="P74" i="1" s="1"/>
  <c r="I76" i="3"/>
  <c r="J75" i="3"/>
  <c r="K75" i="3" s="1"/>
  <c r="K74" i="3"/>
  <c r="I76" i="1"/>
  <c r="J75" i="1"/>
  <c r="K74" i="2"/>
  <c r="Q75" i="3" l="1"/>
  <c r="O75" i="3"/>
  <c r="P75" i="3" s="1"/>
  <c r="L75" i="3"/>
  <c r="M75" i="3" s="1"/>
  <c r="I77" i="3"/>
  <c r="J76" i="3"/>
  <c r="Q76" i="4"/>
  <c r="O76" i="4"/>
  <c r="P76" i="4" s="1"/>
  <c r="L76" i="4"/>
  <c r="M76" i="4" s="1"/>
  <c r="K76" i="4"/>
  <c r="K77" i="4"/>
  <c r="I78" i="4"/>
  <c r="J77" i="4"/>
  <c r="Q75" i="1"/>
  <c r="O75" i="1"/>
  <c r="P75" i="1" s="1"/>
  <c r="L75" i="1"/>
  <c r="M75" i="1" s="1"/>
  <c r="I77" i="1"/>
  <c r="J76" i="1"/>
  <c r="K76" i="1"/>
  <c r="Q75" i="2"/>
  <c r="O75" i="2"/>
  <c r="P75" i="2" s="1"/>
  <c r="L75" i="2"/>
  <c r="M75" i="2" s="1"/>
  <c r="K75" i="1"/>
  <c r="J76" i="2"/>
  <c r="K76" i="2" s="1"/>
  <c r="I77" i="2"/>
  <c r="I78" i="1" l="1"/>
  <c r="J77" i="1"/>
  <c r="Q76" i="3"/>
  <c r="O76" i="3"/>
  <c r="P76" i="3" s="1"/>
  <c r="L76" i="3"/>
  <c r="M76" i="3" s="1"/>
  <c r="I78" i="3"/>
  <c r="J77" i="3"/>
  <c r="Q76" i="1"/>
  <c r="O76" i="1"/>
  <c r="P76" i="1" s="1"/>
  <c r="L76" i="1"/>
  <c r="M76" i="1" s="1"/>
  <c r="K76" i="3"/>
  <c r="I78" i="2"/>
  <c r="J77" i="2"/>
  <c r="Q77" i="4"/>
  <c r="O77" i="4"/>
  <c r="P77" i="4" s="1"/>
  <c r="L77" i="4"/>
  <c r="M77" i="4" s="1"/>
  <c r="Q76" i="2"/>
  <c r="O76" i="2"/>
  <c r="P76" i="2" s="1"/>
  <c r="L76" i="2"/>
  <c r="M76" i="2" s="1"/>
  <c r="J78" i="4"/>
  <c r="Q77" i="2" l="1"/>
  <c r="O77" i="2"/>
  <c r="P77" i="2" s="1"/>
  <c r="L77" i="2"/>
  <c r="M77" i="2" s="1"/>
  <c r="J78" i="3"/>
  <c r="J78" i="2"/>
  <c r="K78" i="2" s="1"/>
  <c r="Q77" i="1"/>
  <c r="O77" i="1"/>
  <c r="P77" i="1" s="1"/>
  <c r="L77" i="1"/>
  <c r="M77" i="1" s="1"/>
  <c r="K77" i="2"/>
  <c r="J78" i="1"/>
  <c r="Q77" i="3"/>
  <c r="O77" i="3"/>
  <c r="P77" i="3" s="1"/>
  <c r="L77" i="3"/>
  <c r="M77" i="3" s="1"/>
  <c r="K77" i="3"/>
  <c r="Q78" i="4"/>
  <c r="O78" i="4"/>
  <c r="P78" i="4" s="1"/>
  <c r="L78" i="4"/>
  <c r="M78" i="4" s="1"/>
  <c r="K78" i="4"/>
  <c r="K77" i="1"/>
  <c r="Q78" i="3" l="1"/>
  <c r="O78" i="3"/>
  <c r="P78" i="3" s="1"/>
  <c r="L78" i="3"/>
  <c r="M78" i="3" s="1"/>
  <c r="K78" i="3"/>
  <c r="Q78" i="2"/>
  <c r="O78" i="2"/>
  <c r="P78" i="2" s="1"/>
  <c r="L78" i="2"/>
  <c r="M78" i="2" s="1"/>
  <c r="Q78" i="1"/>
  <c r="O78" i="1"/>
  <c r="P78" i="1" s="1"/>
  <c r="L78" i="1"/>
  <c r="M78" i="1" s="1"/>
  <c r="K78" i="1"/>
</calcChain>
</file>

<file path=xl/sharedStrings.xml><?xml version="1.0" encoding="utf-8"?>
<sst xmlns="http://schemas.openxmlformats.org/spreadsheetml/2006/main" count="596" uniqueCount="59">
  <si>
    <t>제까갓 마틴게일-스파이더 매매법 시뮬레이터 (롱 3k 타격형 V14)</t>
  </si>
  <si>
    <t>※ 총 3k 집중 구간 (3개 대단계) / 소단계를 50불 단위로 20개 세분화 (총 60단계 타격형)</t>
  </si>
  <si>
    <t>■ 제까갓 시스템 매매 핵심 운용 규칙 (반드시 숙지 후 컴퓨터처럼 이행할 것) ■</t>
  </si>
  <si>
    <t>① [철저한 단타 지향] 장기 스윙 관점이 아닌 일간 변동성(ADR) 내 기술적 반등을 노리는 완벽한 기계적 시스템 단타 매매입니다.</t>
  </si>
  <si>
    <t>② [3k 압축 &amp; 초기 비중 4.8배 업그레이드] 60단계 압축 구조로 1차 체결 시 유의미한 수익금을 확정합니다.</t>
  </si>
  <si>
    <t>③ [2차 체결 이후 하이브리드 리셋] 2차 이상 진입 시, 반등을 주어 평단(본절) 도달 시 물량의 50% 이상을 즉시 정리하여 가용 잔고를 강제 확보합니다.</t>
  </si>
  <si>
    <t>④ [3차 필수 스톱로스(SL)] '손절은 없다'는 뇌동을 버리고, 마지막 보루인 3차 진입 시 예상 청산가 3% 위에 무조건 시스템 스톱로스를 예약합니다.</t>
  </si>
  <si>
    <t>⑤ [진입 타점 필터링] 아무 자리에서나 거미줄을 치지 말고, 일봉 RSI 과매도(30이하) 등 지지선 확인 혹은 변동성(ATR) 급증 시 간격을 넓혀 진입합니다.</t>
  </si>
  <si>
    <t>시작 비트코인 가격 (USDT)</t>
  </si>
  <si>
    <t>총 지갑 잔고 (USDT)</t>
  </si>
  <si>
    <t>레버리지 (배)</t>
  </si>
  <si>
    <t>유지 증거금율 (Maint. Margin %)</t>
  </si>
  <si>
    <t>추천 손절 범위 (평단 대비 %)</t>
  </si>
  <si>
    <t>대단계</t>
  </si>
  <si>
    <t>소단계</t>
  </si>
  <si>
    <t>진입 가격 (USDT)</t>
  </si>
  <si>
    <t>2배·등차 가중치</t>
  </si>
  <si>
    <t>해당 단계 진입 수량 (BTC)</t>
  </si>
  <si>
    <t>해당 단계 증거금 (USDT)</t>
  </si>
  <si>
    <t>누적 수량 (BTC)</t>
  </si>
  <si>
    <t>누적 증거금 (USDT)</t>
  </si>
  <si>
    <t>평단가 (USDT)</t>
  </si>
  <si>
    <t>가용 잔고 (Free Margin)</t>
  </si>
  <si>
    <t>예상 청산가 (USDT)</t>
  </si>
  <si>
    <t>청산까지 남은 %</t>
  </si>
  <si>
    <t>목표ROE</t>
  </si>
  <si>
    <t>목표익절가</t>
  </si>
  <si>
    <t>필요반등폭</t>
  </si>
  <si>
    <t>시스템 스톱로스(SL) 가격</t>
  </si>
  <si>
    <t>1차</t>
  </si>
  <si>
    <t>1단계</t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</si>
  <si>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</si>
  <si>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</si>
  <si>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</si>
  <si>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</si>
  <si>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</si>
  <si>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</si>
  <si>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</si>
  <si>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</si>
  <si>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</si>
  <si>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11단계</t>
  </si>
  <si>
    <t>12단계</t>
  </si>
  <si>
    <t>13단계</t>
  </si>
  <si>
    <t>14단계</t>
  </si>
  <si>
    <t>15단계</t>
  </si>
  <si>
    <t>16단계</t>
  </si>
  <si>
    <t>17단계</t>
  </si>
  <si>
    <t>18단계</t>
  </si>
  <si>
    <t>19단계</t>
  </si>
  <si>
    <t>20단계</t>
  </si>
  <si>
    <t>2차</t>
  </si>
  <si>
    <t>3차</t>
  </si>
  <si>
    <t>제까갓 마틴게일-스파이더 매매법 시뮬레이터 (숏 3k 타격형 V14)</t>
  </si>
  <si>
    <t>필요하락폭</t>
  </si>
  <si>
    <t>※ 총 150불 집중 구간 (3개 대단계) / 소단계를 2.5불 단위로 20개 세분화 (총 60단계 타격형)</t>
  </si>
  <si>
    <t>② [150불 압축 &amp; 초기 비중 4.8배 업그레이드] 60단계 압축 구조로 1차 체결 시 유의미한 수익금을 확정합니다.</t>
  </si>
  <si>
    <t>시작 이더리움 가격 (USDT)</t>
  </si>
  <si>
    <t>해당 단계 진입 수량 (ETH)</t>
  </si>
  <si>
    <t>누적 수량 (ETH)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</si>
</sst>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%"/>
    <numFmt numFmtId="177" formatCode="0.0%"/>
    <numFmt numFmtId="178" formatCode="#,##0.000"/>
    <numFmt numFmtId="179" formatCode="#,##0.0"/>
  </numFmts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E0E0E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9C000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4495E"/>
        <bgColor rgb="FF34495E"/>
      </patternFill>
    </fill>
    <fill>
      <patternFill patternType="solid">
        <fgColor rgb="FFF2F5F8"/>
        <bgColor rgb="FFF2F5F8"/>
      </patternFill>
    </fill>
    <fill>
      <patternFill patternType="solid">
        <fgColor rgb="FFDCE6F1"/>
        <bgColor rgb="FFDCE6F1"/>
      </patternFill>
    </fill>
    <fill>
      <patternFill patternType="solid">
        <fgColor rgb="FFFADBD8"/>
        <bgColor rgb="FFFADBD8"/>
      </patternFill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1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/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/>
      <top/>
      <bottom/>
      <diagonal/>
    </border>
    <border>
      <left/>
      <right/>
      <top/>
      <bottom/>
      <diagonal/>
    </border>
    <border>
      <left/>
      <right style="thin">
        <color rgb="FFB0C4DE"/>
      </right>
      <top/>
      <bottom/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/>
    <xf numFmtId="3" fontId="6" fillId="5" borderId="0" xfId="0" applyNumberFormat="1" applyFont="1" applyFill="1"/>
    <xf numFmtId="0" fontId="6" fillId="5" borderId="0" xfId="0" applyFont="1" applyFill="1"/>
    <xf numFmtId="176" fontId="6" fillId="5" borderId="0" xfId="0" applyNumberFormat="1" applyFont="1" applyFill="1"/>
    <xf numFmtId="177" fontId="7" fillId="6" borderId="0" xfId="0" applyNumberFormat="1" applyFont="1" applyFill="1"/>
    <xf numFmtId="0" fontId="8" fillId="7" borderId="0" xfId="0" applyFont="1" applyFill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178" fontId="9" fillId="0" borderId="10" xfId="0" applyNumberFormat="1" applyFont="1" applyBorder="1" applyAlignment="1">
      <alignment horizontal="right" vertical="center"/>
    </xf>
    <xf numFmtId="178" fontId="6" fillId="8" borderId="10" xfId="0" applyNumberFormat="1" applyFont="1" applyFill="1" applyBorder="1" applyAlignment="1">
      <alignment horizontal="right" vertical="center"/>
    </xf>
    <xf numFmtId="179" fontId="9" fillId="0" borderId="10" xfId="0" applyNumberFormat="1" applyFont="1" applyBorder="1" applyAlignment="1">
      <alignment horizontal="right" vertical="center"/>
    </xf>
    <xf numFmtId="3" fontId="6" fillId="9" borderId="10" xfId="0" applyNumberFormat="1" applyFont="1" applyFill="1" applyBorder="1" applyAlignment="1">
      <alignment horizontal="right" vertical="center"/>
    </xf>
    <xf numFmtId="10" fontId="9" fillId="0" borderId="10" xfId="0" applyNumberFormat="1" applyFont="1" applyBorder="1" applyAlignment="1">
      <alignment horizontal="right" vertical="center"/>
    </xf>
    <xf numFmtId="3" fontId="6" fillId="10" borderId="10" xfId="0" applyNumberFormat="1" applyFont="1" applyFill="1" applyBorder="1" applyAlignment="1">
      <alignment horizontal="right" vertical="center"/>
    </xf>
    <xf numFmtId="3" fontId="10" fillId="6" borderId="10" xfId="0" applyNumberFormat="1" applyFont="1" applyFill="1" applyBorder="1" applyAlignment="1">
      <alignment horizontal="right" vertical="center"/>
    </xf>
    <xf numFmtId="179" fontId="6" fillId="9" borderId="10" xfId="0" applyNumberFormat="1" applyFont="1" applyFill="1" applyBorder="1" applyAlignment="1">
      <alignment horizontal="right" vertical="center"/>
    </xf>
    <xf numFmtId="179" fontId="6" fillId="10" borderId="10" xfId="0" applyNumberFormat="1" applyFont="1" applyFill="1" applyBorder="1" applyAlignment="1">
      <alignment horizontal="right" vertical="center"/>
    </xf>
    <xf numFmtId="179" fontId="10" fillId="6" borderId="10" xfId="0" applyNumberFormat="1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left" vertical="center" indent="1"/>
    </xf>
    <xf numFmtId="0" fontId="0" fillId="4" borderId="8" xfId="0" applyFill="1" applyBorder="1"/>
    <xf numFmtId="0" fontId="0" fillId="4" borderId="9" xfId="0" applyFill="1" applyBorder="1"/>
    <xf numFmtId="0" fontId="5" fillId="4" borderId="4" xfId="0" applyFont="1" applyFill="1" applyBorder="1" applyAlignment="1">
      <alignment horizontal="left" vertical="center" indent="1"/>
    </xf>
    <xf numFmtId="0" fontId="0" fillId="4" borderId="5" xfId="0" applyFill="1" applyBorder="1"/>
    <xf numFmtId="0" fontId="0" fillId="4" borderId="6" xfId="0" applyFill="1" applyBorder="1"/>
    <xf numFmtId="0" fontId="3" fillId="4" borderId="1" xfId="0" applyFont="1" applyFill="1" applyBorder="1" applyAlignment="1">
      <alignment horizontal="left" vertical="center" indent="1"/>
    </xf>
    <xf numFmtId="0" fontId="0" fillId="4" borderId="2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8"/>
  <sheetViews>
    <sheetView tabSelected="1" topLeftCell="A49" workbookViewId="0">
      <selection activeCell="D12" sqref="D12"/>
    </sheetView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8</v>
      </c>
      <c r="C11" s="2">
        <v>65050</v>
      </c>
    </row>
    <row r="12" spans="2:17" ht="18" customHeight="1" x14ac:dyDescent="0.3">
      <c r="B12" s="1" t="s">
        <v>9</v>
      </c>
      <c r="C12" s="2">
        <v>5500</v>
      </c>
    </row>
    <row r="13" spans="2:17" ht="18" customHeight="1" x14ac:dyDescent="0.3">
      <c r="B13" s="1" t="s">
        <v>10</v>
      </c>
      <c r="C13" s="3">
        <v>30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27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8">
        <f>$C$11-0</f>
        <v>65050</v>
      </c>
      <c r="E19" s="9">
        <v>10</v>
      </c>
      <c r="F19" s="10">
        <f t="shared" ref="F19:F50" si="0">(G19*$C$13)/D19</f>
        <v>7.1944657955418908E-3</v>
      </c>
      <c r="G19" s="11">
        <f t="shared" ref="G19:G50" si="1">ROUND($C$12*E19/SUM($E$19:$E$78), 1)</f>
        <v>15.6</v>
      </c>
      <c r="H19" s="10">
        <f>F19</f>
        <v>7.1944657955418908E-3</v>
      </c>
      <c r="I19" s="12">
        <f>G19</f>
        <v>15.6</v>
      </c>
      <c r="J19" s="13">
        <f t="shared" ref="J19:J50" si="2">I19*$C$13/H19</f>
        <v>65050</v>
      </c>
      <c r="K19" s="12">
        <f t="shared" ref="K19:K50" si="3">$C$12-I19+H19*(D19-J19)</f>
        <v>5484.4</v>
      </c>
      <c r="L19" s="8">
        <f t="shared" ref="L19:L50" si="4">(J19*H19-$C$12)/(H19*(1-$C$14))</f>
        <v>-702941.20173517161</v>
      </c>
      <c r="M19" s="14">
        <f t="shared" ref="M19:M50" si="5">(D19-L19)/D19</f>
        <v>11.806167590087188</v>
      </c>
      <c r="N19" s="14">
        <f t="shared" ref="N19:N50" si="6">IF(B19="1차",0.1,IF(B19="2차",0.05,0.02))</f>
        <v>0.1</v>
      </c>
      <c r="O19" s="15">
        <f t="shared" ref="O19:O50" si="7">J19*(1+N19/$C$13)</f>
        <v>65266.833333333336</v>
      </c>
      <c r="P19" s="8">
        <f t="shared" ref="P19:P50" si="8">O19-J19</f>
        <v>216.83333333333576</v>
      </c>
      <c r="Q19" s="16">
        <f t="shared" ref="Q19:Q50" si="9">J19*(1-$C$15)</f>
        <v>63098.5</v>
      </c>
    </row>
    <row r="20" spans="2:17" ht="17.100000000000001" customHeight="1" x14ac:dyDescent="0.3">
      <c r="B20" s="7" t="s">
        <v>29</v>
      </c>
      <c r="C20" s="7" t="s">
        <v>31</v>
      </c>
      <c r="D20" s="8">
        <f>$C$11-50</f>
        <v>65000</v>
      </c>
      <c r="E20" s="9">
        <v>11</v>
      </c>
      <c r="F20" s="10">
        <f t="shared" si="0"/>
        <v>7.8923076923076915E-3</v>
      </c>
      <c r="G20" s="11">
        <f t="shared" si="1"/>
        <v>17.100000000000001</v>
      </c>
      <c r="H20" s="10">
        <f t="shared" ref="H20:H51" si="10">H19+F20</f>
        <v>1.5086773487849581E-2</v>
      </c>
      <c r="I20" s="12">
        <f t="shared" ref="I20:I51" si="11">I19+G20</f>
        <v>32.700000000000003</v>
      </c>
      <c r="J20" s="13">
        <f t="shared" si="2"/>
        <v>65023.843619715444</v>
      </c>
      <c r="K20" s="12">
        <f t="shared" si="3"/>
        <v>5466.9402767102229</v>
      </c>
      <c r="L20" s="8">
        <f t="shared" si="4"/>
        <v>-301039.08873367251</v>
      </c>
      <c r="M20" s="14">
        <f t="shared" si="5"/>
        <v>5.6313705959026539</v>
      </c>
      <c r="N20" s="14">
        <f t="shared" si="6"/>
        <v>0.1</v>
      </c>
      <c r="O20" s="15">
        <f t="shared" si="7"/>
        <v>65240.589765114499</v>
      </c>
      <c r="P20" s="8">
        <f t="shared" si="8"/>
        <v>216.74614539905451</v>
      </c>
      <c r="Q20" s="16">
        <f t="shared" si="9"/>
        <v>63073.128311123983</v>
      </c>
    </row>
    <row r="21" spans="2:17" ht="17.100000000000001" customHeight="1" x14ac:dyDescent="0.3">
      <c r="B21" s="7" t="s">
        <v>29</v>
      </c>
      <c r="C21" s="7" t="s">
        <v>32</v>
      </c>
      <c r="D21" s="8">
        <f>$C$11-100</f>
        <v>64950</v>
      </c>
      <c r="E21" s="9">
        <v>12</v>
      </c>
      <c r="F21" s="10">
        <f t="shared" si="0"/>
        <v>8.6374133949191686E-3</v>
      </c>
      <c r="G21" s="11">
        <f t="shared" si="1"/>
        <v>18.7</v>
      </c>
      <c r="H21" s="10">
        <f t="shared" si="10"/>
        <v>2.3724186882768748E-2</v>
      </c>
      <c r="I21" s="12">
        <f t="shared" si="11"/>
        <v>51.400000000000006</v>
      </c>
      <c r="J21" s="13">
        <f t="shared" si="2"/>
        <v>64996.958910316927</v>
      </c>
      <c r="K21" s="12">
        <f t="shared" si="3"/>
        <v>5447.4859380358303</v>
      </c>
      <c r="L21" s="8">
        <f t="shared" si="4"/>
        <v>-167672.31968339387</v>
      </c>
      <c r="M21" s="14">
        <f t="shared" si="5"/>
        <v>3.5815599643324689</v>
      </c>
      <c r="N21" s="14">
        <f t="shared" si="6"/>
        <v>0.1</v>
      </c>
      <c r="O21" s="15">
        <f t="shared" si="7"/>
        <v>65213.615440017988</v>
      </c>
      <c r="P21" s="8">
        <f t="shared" si="8"/>
        <v>216.65652970106021</v>
      </c>
      <c r="Q21" s="16">
        <f t="shared" si="9"/>
        <v>63047.050143007415</v>
      </c>
    </row>
    <row r="22" spans="2:17" ht="17.100000000000001" customHeight="1" x14ac:dyDescent="0.3">
      <c r="B22" s="7" t="s">
        <v>29</v>
      </c>
      <c r="C22" s="7" t="s">
        <v>33</v>
      </c>
      <c r="D22" s="8">
        <f>$C$11-150</f>
        <v>64900</v>
      </c>
      <c r="E22" s="9">
        <v>13</v>
      </c>
      <c r="F22" s="10">
        <f t="shared" si="0"/>
        <v>9.3836671802773504E-3</v>
      </c>
      <c r="G22" s="11">
        <f t="shared" si="1"/>
        <v>20.3</v>
      </c>
      <c r="H22" s="10">
        <f t="shared" si="10"/>
        <v>3.3107854063046102E-2</v>
      </c>
      <c r="I22" s="12">
        <f t="shared" si="11"/>
        <v>71.7</v>
      </c>
      <c r="J22" s="13">
        <f t="shared" si="2"/>
        <v>64969.478115492704</v>
      </c>
      <c r="K22" s="12">
        <f t="shared" si="3"/>
        <v>5425.9997286916923</v>
      </c>
      <c r="L22" s="8">
        <f t="shared" si="4"/>
        <v>-101662.55835606907</v>
      </c>
      <c r="M22" s="14">
        <f t="shared" si="5"/>
        <v>2.5664492812953634</v>
      </c>
      <c r="N22" s="14">
        <f t="shared" si="6"/>
        <v>0.1</v>
      </c>
      <c r="O22" s="15">
        <f t="shared" si="7"/>
        <v>65186.043042544348</v>
      </c>
      <c r="P22" s="8">
        <f t="shared" si="8"/>
        <v>216.56492705164419</v>
      </c>
      <c r="Q22" s="16">
        <f t="shared" si="9"/>
        <v>63020.393772027921</v>
      </c>
    </row>
    <row r="23" spans="2:17" ht="17.100000000000001" customHeight="1" x14ac:dyDescent="0.3">
      <c r="B23" s="7" t="s">
        <v>29</v>
      </c>
      <c r="C23" s="7" t="s">
        <v>34</v>
      </c>
      <c r="D23" s="8">
        <f>$C$11-200</f>
        <v>64850</v>
      </c>
      <c r="E23" s="9">
        <v>14</v>
      </c>
      <c r="F23" s="10">
        <f t="shared" si="0"/>
        <v>1.0084811102544333E-2</v>
      </c>
      <c r="G23" s="11">
        <f t="shared" si="1"/>
        <v>21.8</v>
      </c>
      <c r="H23" s="10">
        <f t="shared" si="10"/>
        <v>4.3192665165590435E-2</v>
      </c>
      <c r="I23" s="12">
        <f t="shared" si="11"/>
        <v>93.5</v>
      </c>
      <c r="J23" s="13">
        <f t="shared" si="2"/>
        <v>64941.581846044814</v>
      </c>
      <c r="K23" s="12">
        <f t="shared" si="3"/>
        <v>5402.5443359885394</v>
      </c>
      <c r="L23" s="8">
        <f t="shared" si="4"/>
        <v>-62708.395121808964</v>
      </c>
      <c r="M23" s="14">
        <f t="shared" si="5"/>
        <v>1.9669760234665994</v>
      </c>
      <c r="N23" s="14">
        <f t="shared" si="6"/>
        <v>0.1</v>
      </c>
      <c r="O23" s="15">
        <f t="shared" si="7"/>
        <v>65158.053785531636</v>
      </c>
      <c r="P23" s="8">
        <f t="shared" si="8"/>
        <v>216.47193948682252</v>
      </c>
      <c r="Q23" s="16">
        <f t="shared" si="9"/>
        <v>62993.334390663469</v>
      </c>
    </row>
    <row r="24" spans="2:17" ht="17.100000000000001" customHeight="1" x14ac:dyDescent="0.3">
      <c r="B24" s="7" t="s">
        <v>29</v>
      </c>
      <c r="C24" s="7" t="s">
        <v>35</v>
      </c>
      <c r="D24" s="8">
        <f>$C$11-250</f>
        <v>64800</v>
      </c>
      <c r="E24" s="9">
        <v>15</v>
      </c>
      <c r="F24" s="10">
        <f t="shared" si="0"/>
        <v>1.0833333333333334E-2</v>
      </c>
      <c r="G24" s="11">
        <f t="shared" si="1"/>
        <v>23.4</v>
      </c>
      <c r="H24" s="10">
        <f t="shared" si="10"/>
        <v>5.4025998498923769E-2</v>
      </c>
      <c r="I24" s="12">
        <f t="shared" si="11"/>
        <v>116.9</v>
      </c>
      <c r="J24" s="13">
        <f t="shared" si="2"/>
        <v>64913.191749151323</v>
      </c>
      <c r="K24" s="12">
        <f t="shared" si="3"/>
        <v>5376.9847027302603</v>
      </c>
      <c r="L24" s="8">
        <f t="shared" si="4"/>
        <v>-37075.021860387933</v>
      </c>
      <c r="M24" s="14">
        <f t="shared" si="5"/>
        <v>1.5721453990800607</v>
      </c>
      <c r="N24" s="14">
        <f t="shared" si="6"/>
        <v>0.1</v>
      </c>
      <c r="O24" s="15">
        <f t="shared" si="7"/>
        <v>65129.569054981832</v>
      </c>
      <c r="P24" s="8">
        <f t="shared" si="8"/>
        <v>216.3773058305087</v>
      </c>
      <c r="Q24" s="16">
        <f t="shared" si="9"/>
        <v>62965.795996676781</v>
      </c>
    </row>
    <row r="25" spans="2:17" ht="17.100000000000001" customHeight="1" x14ac:dyDescent="0.3">
      <c r="B25" s="7" t="s">
        <v>29</v>
      </c>
      <c r="C25" s="7" t="s">
        <v>36</v>
      </c>
      <c r="D25" s="8">
        <f>$C$11-300</f>
        <v>64750</v>
      </c>
      <c r="E25" s="9">
        <v>16</v>
      </c>
      <c r="F25" s="10">
        <f t="shared" si="0"/>
        <v>1.1536679536679537E-2</v>
      </c>
      <c r="G25" s="11">
        <f t="shared" si="1"/>
        <v>24.9</v>
      </c>
      <c r="H25" s="10">
        <f t="shared" si="10"/>
        <v>6.5562678035603311E-2</v>
      </c>
      <c r="I25" s="12">
        <f t="shared" si="11"/>
        <v>141.80000000000001</v>
      </c>
      <c r="J25" s="13">
        <f t="shared" si="2"/>
        <v>64884.475855148834</v>
      </c>
      <c r="K25" s="12">
        <f t="shared" si="3"/>
        <v>5349.3834028053143</v>
      </c>
      <c r="L25" s="8">
        <f t="shared" si="4"/>
        <v>-19100.215916327157</v>
      </c>
      <c r="M25" s="14">
        <f t="shared" si="5"/>
        <v>1.2949840295957862</v>
      </c>
      <c r="N25" s="14">
        <f t="shared" si="6"/>
        <v>0.1</v>
      </c>
      <c r="O25" s="15">
        <f t="shared" si="7"/>
        <v>65100.757441332666</v>
      </c>
      <c r="P25" s="8">
        <f t="shared" si="8"/>
        <v>216.28158618383168</v>
      </c>
      <c r="Q25" s="16">
        <f t="shared" si="9"/>
        <v>62937.941579494371</v>
      </c>
    </row>
    <row r="26" spans="2:17" ht="17.100000000000001" customHeight="1" x14ac:dyDescent="0.3">
      <c r="B26" s="7" t="s">
        <v>29</v>
      </c>
      <c r="C26" s="7" t="s">
        <v>37</v>
      </c>
      <c r="D26" s="8">
        <f>$C$11-350</f>
        <v>64700</v>
      </c>
      <c r="E26" s="9">
        <v>17</v>
      </c>
      <c r="F26" s="10">
        <f t="shared" si="0"/>
        <v>1.2287480680061824E-2</v>
      </c>
      <c r="G26" s="11">
        <f t="shared" si="1"/>
        <v>26.5</v>
      </c>
      <c r="H26" s="10">
        <f t="shared" si="10"/>
        <v>7.7850158715665141E-2</v>
      </c>
      <c r="I26" s="12">
        <f t="shared" si="11"/>
        <v>168.3</v>
      </c>
      <c r="J26" s="13">
        <f t="shared" si="2"/>
        <v>64855.359106468095</v>
      </c>
      <c r="K26" s="12">
        <f t="shared" si="3"/>
        <v>5319.605268903535</v>
      </c>
      <c r="L26" s="8">
        <f t="shared" si="4"/>
        <v>-5822.2916836145696</v>
      </c>
      <c r="M26" s="14">
        <f t="shared" si="5"/>
        <v>1.0899890522969795</v>
      </c>
      <c r="N26" s="14">
        <f t="shared" si="6"/>
        <v>0.1</v>
      </c>
      <c r="O26" s="15">
        <f t="shared" si="7"/>
        <v>65071.543636822993</v>
      </c>
      <c r="P26" s="8">
        <f t="shared" si="8"/>
        <v>216.18453035489802</v>
      </c>
      <c r="Q26" s="16">
        <f t="shared" si="9"/>
        <v>62909.698333274049</v>
      </c>
    </row>
    <row r="27" spans="2:17" ht="17.100000000000001" customHeight="1" x14ac:dyDescent="0.3">
      <c r="B27" s="7" t="s">
        <v>29</v>
      </c>
      <c r="C27" s="7" t="s">
        <v>38</v>
      </c>
      <c r="D27" s="8">
        <f>$C$11-400</f>
        <v>64650</v>
      </c>
      <c r="E27" s="9">
        <v>18</v>
      </c>
      <c r="F27" s="10">
        <f t="shared" si="0"/>
        <v>1.2993039443155453E-2</v>
      </c>
      <c r="G27" s="11">
        <f t="shared" si="1"/>
        <v>28</v>
      </c>
      <c r="H27" s="10">
        <f t="shared" si="10"/>
        <v>9.0843198158820596E-2</v>
      </c>
      <c r="I27" s="12">
        <f t="shared" si="11"/>
        <v>196.3</v>
      </c>
      <c r="J27" s="13">
        <f t="shared" si="2"/>
        <v>64825.987188433173</v>
      </c>
      <c r="K27" s="12">
        <f t="shared" si="3"/>
        <v>5287.7127609677509</v>
      </c>
      <c r="L27" s="8">
        <f t="shared" si="4"/>
        <v>4303.6218648515978</v>
      </c>
      <c r="M27" s="14">
        <f t="shared" si="5"/>
        <v>0.93343198971613917</v>
      </c>
      <c r="N27" s="14">
        <f t="shared" si="6"/>
        <v>0.1</v>
      </c>
      <c r="O27" s="15">
        <f t="shared" si="7"/>
        <v>65042.073812394621</v>
      </c>
      <c r="P27" s="8">
        <f t="shared" si="8"/>
        <v>216.08662396144791</v>
      </c>
      <c r="Q27" s="16">
        <f t="shared" si="9"/>
        <v>62881.207572780178</v>
      </c>
    </row>
    <row r="28" spans="2:17" ht="17.100000000000001" customHeight="1" x14ac:dyDescent="0.3">
      <c r="B28" s="7" t="s">
        <v>29</v>
      </c>
      <c r="C28" s="7" t="s">
        <v>39</v>
      </c>
      <c r="D28" s="8">
        <f>$C$11-450</f>
        <v>64600</v>
      </c>
      <c r="E28" s="9">
        <v>19</v>
      </c>
      <c r="F28" s="10">
        <f t="shared" si="0"/>
        <v>1.3746130030959753E-2</v>
      </c>
      <c r="G28" s="11">
        <f t="shared" si="1"/>
        <v>29.6</v>
      </c>
      <c r="H28" s="10">
        <f t="shared" si="10"/>
        <v>0.10458932818978035</v>
      </c>
      <c r="I28" s="12">
        <f t="shared" si="11"/>
        <v>225.9</v>
      </c>
      <c r="J28" s="13">
        <f t="shared" si="2"/>
        <v>64796.285790295333</v>
      </c>
      <c r="K28" s="12">
        <f t="shared" si="3"/>
        <v>5253.5706010598115</v>
      </c>
      <c r="L28" s="8">
        <f t="shared" si="4"/>
        <v>12271.013760585003</v>
      </c>
      <c r="M28" s="14">
        <f t="shared" si="5"/>
        <v>0.81004622661633119</v>
      </c>
      <c r="N28" s="14">
        <f t="shared" si="6"/>
        <v>0.1</v>
      </c>
      <c r="O28" s="15">
        <f t="shared" si="7"/>
        <v>65012.273409596324</v>
      </c>
      <c r="P28" s="8">
        <f t="shared" si="8"/>
        <v>215.98761930099135</v>
      </c>
      <c r="Q28" s="16">
        <f t="shared" si="9"/>
        <v>62852.397216586469</v>
      </c>
    </row>
    <row r="29" spans="2:17" ht="17.100000000000001" customHeight="1" x14ac:dyDescent="0.3">
      <c r="B29" s="7" t="s">
        <v>29</v>
      </c>
      <c r="C29" s="7" t="s">
        <v>40</v>
      </c>
      <c r="D29" s="8">
        <f>$C$11-500</f>
        <v>64550</v>
      </c>
      <c r="E29" s="9">
        <v>20</v>
      </c>
      <c r="F29" s="10">
        <f t="shared" si="0"/>
        <v>1.4500387296669248E-2</v>
      </c>
      <c r="G29" s="11">
        <f t="shared" si="1"/>
        <v>31.2</v>
      </c>
      <c r="H29" s="10">
        <f t="shared" si="10"/>
        <v>0.1190897154864496</v>
      </c>
      <c r="I29" s="12">
        <f t="shared" si="11"/>
        <v>257.10000000000002</v>
      </c>
      <c r="J29" s="13">
        <f t="shared" si="2"/>
        <v>64766.297983788616</v>
      </c>
      <c r="K29" s="12">
        <f t="shared" si="3"/>
        <v>5217.141134650321</v>
      </c>
      <c r="L29" s="8">
        <f t="shared" si="4"/>
        <v>18676.009040160516</v>
      </c>
      <c r="M29" s="14">
        <f t="shared" si="5"/>
        <v>0.71067375615553041</v>
      </c>
      <c r="N29" s="14">
        <f t="shared" si="6"/>
        <v>0.1</v>
      </c>
      <c r="O29" s="15">
        <f t="shared" si="7"/>
        <v>64982.185643734585</v>
      </c>
      <c r="P29" s="8">
        <f t="shared" si="8"/>
        <v>215.88765994596906</v>
      </c>
      <c r="Q29" s="16">
        <f t="shared" si="9"/>
        <v>62823.309044274953</v>
      </c>
    </row>
    <row r="30" spans="2:17" ht="17.100000000000001" customHeight="1" x14ac:dyDescent="0.3">
      <c r="B30" s="7" t="s">
        <v>29</v>
      </c>
      <c r="C30" s="7" t="s">
        <v>41</v>
      </c>
      <c r="D30" s="8">
        <f>$C$11-550</f>
        <v>64500</v>
      </c>
      <c r="E30" s="9">
        <v>21</v>
      </c>
      <c r="F30" s="10">
        <f t="shared" si="0"/>
        <v>1.5209302325581398E-2</v>
      </c>
      <c r="G30" s="11">
        <f t="shared" si="1"/>
        <v>32.700000000000003</v>
      </c>
      <c r="H30" s="10">
        <f t="shared" si="10"/>
        <v>0.13429901781203099</v>
      </c>
      <c r="I30" s="12">
        <f t="shared" si="11"/>
        <v>289.8</v>
      </c>
      <c r="J30" s="13">
        <f t="shared" si="2"/>
        <v>64736.139858955547</v>
      </c>
      <c r="K30" s="12">
        <f t="shared" si="3"/>
        <v>5178.4866488759981</v>
      </c>
      <c r="L30" s="8">
        <f t="shared" si="4"/>
        <v>23902.261561951</v>
      </c>
      <c r="M30" s="14">
        <f t="shared" si="5"/>
        <v>0.62942230136510069</v>
      </c>
      <c r="N30" s="14">
        <f t="shared" si="6"/>
        <v>0.1</v>
      </c>
      <c r="O30" s="15">
        <f t="shared" si="7"/>
        <v>64951.926991818735</v>
      </c>
      <c r="P30" s="8">
        <f t="shared" si="8"/>
        <v>215.78713286318816</v>
      </c>
      <c r="Q30" s="16">
        <f t="shared" si="9"/>
        <v>62794.055663186875</v>
      </c>
    </row>
    <row r="31" spans="2:17" ht="17.100000000000001" customHeight="1" x14ac:dyDescent="0.3">
      <c r="B31" s="7" t="s">
        <v>29</v>
      </c>
      <c r="C31" s="7" t="s">
        <v>42</v>
      </c>
      <c r="D31" s="8">
        <f>$C$11-600</f>
        <v>64450</v>
      </c>
      <c r="E31" s="9">
        <v>22</v>
      </c>
      <c r="F31" s="10">
        <f t="shared" si="0"/>
        <v>1.5965865011636927E-2</v>
      </c>
      <c r="G31" s="11">
        <f t="shared" si="1"/>
        <v>34.299999999999997</v>
      </c>
      <c r="H31" s="10">
        <f t="shared" si="10"/>
        <v>0.15026488282366793</v>
      </c>
      <c r="I31" s="12">
        <f t="shared" si="11"/>
        <v>324.10000000000002</v>
      </c>
      <c r="J31" s="13">
        <f t="shared" si="2"/>
        <v>64705.737077702288</v>
      </c>
      <c r="K31" s="12">
        <f t="shared" si="3"/>
        <v>5137.4716979853984</v>
      </c>
      <c r="L31" s="8">
        <f t="shared" si="4"/>
        <v>28244.930057997153</v>
      </c>
      <c r="M31" s="14">
        <f t="shared" si="5"/>
        <v>0.56175438234294561</v>
      </c>
      <c r="N31" s="14">
        <f t="shared" si="6"/>
        <v>0.1</v>
      </c>
      <c r="O31" s="15">
        <f t="shared" si="7"/>
        <v>64921.422867961301</v>
      </c>
      <c r="P31" s="8">
        <f t="shared" si="8"/>
        <v>215.68579025901272</v>
      </c>
      <c r="Q31" s="16">
        <f t="shared" si="9"/>
        <v>62764.564965371217</v>
      </c>
    </row>
    <row r="32" spans="2:17" ht="17.100000000000001" customHeight="1" x14ac:dyDescent="0.3">
      <c r="B32" s="7" t="s">
        <v>29</v>
      </c>
      <c r="C32" s="7" t="s">
        <v>43</v>
      </c>
      <c r="D32" s="8">
        <f>$C$11-650</f>
        <v>64400</v>
      </c>
      <c r="E32" s="9">
        <v>23</v>
      </c>
      <c r="F32" s="10">
        <f t="shared" si="0"/>
        <v>1.6677018633540371E-2</v>
      </c>
      <c r="G32" s="11">
        <f t="shared" si="1"/>
        <v>35.799999999999997</v>
      </c>
      <c r="H32" s="10">
        <f t="shared" si="10"/>
        <v>0.1669419014572083</v>
      </c>
      <c r="I32" s="12">
        <f t="shared" si="11"/>
        <v>359.90000000000003</v>
      </c>
      <c r="J32" s="13">
        <f t="shared" si="2"/>
        <v>64675.194817806499</v>
      </c>
      <c r="K32" s="12">
        <f t="shared" si="3"/>
        <v>5094.158453844213</v>
      </c>
      <c r="L32" s="8">
        <f t="shared" si="4"/>
        <v>31889.046692192191</v>
      </c>
      <c r="M32" s="14">
        <f t="shared" si="5"/>
        <v>0.50482846751254362</v>
      </c>
      <c r="N32" s="14">
        <f t="shared" si="6"/>
        <v>0.1</v>
      </c>
      <c r="O32" s="15">
        <f t="shared" si="7"/>
        <v>64890.778800532527</v>
      </c>
      <c r="P32" s="8">
        <f t="shared" si="8"/>
        <v>215.5839827260279</v>
      </c>
      <c r="Q32" s="16">
        <f t="shared" si="9"/>
        <v>62734.938973272299</v>
      </c>
    </row>
    <row r="33" spans="2:17" ht="17.100000000000001" customHeight="1" x14ac:dyDescent="0.3">
      <c r="B33" s="7" t="s">
        <v>29</v>
      </c>
      <c r="C33" s="7" t="s">
        <v>44</v>
      </c>
      <c r="D33" s="8">
        <f>$C$11-700</f>
        <v>64350</v>
      </c>
      <c r="E33" s="9">
        <v>24</v>
      </c>
      <c r="F33" s="10">
        <f t="shared" si="0"/>
        <v>1.7435897435897435E-2</v>
      </c>
      <c r="G33" s="11">
        <f t="shared" si="1"/>
        <v>37.4</v>
      </c>
      <c r="H33" s="10">
        <f t="shared" si="10"/>
        <v>0.18437779889310574</v>
      </c>
      <c r="I33" s="12">
        <f t="shared" si="11"/>
        <v>397.3</v>
      </c>
      <c r="J33" s="13">
        <f t="shared" si="2"/>
        <v>64644.442397916464</v>
      </c>
      <c r="K33" s="12">
        <f t="shared" si="3"/>
        <v>5048.4113587713546</v>
      </c>
      <c r="L33" s="8">
        <f t="shared" si="4"/>
        <v>34989.333423744763</v>
      </c>
      <c r="M33" s="14">
        <f t="shared" si="5"/>
        <v>0.45626521486022126</v>
      </c>
      <c r="N33" s="14">
        <f t="shared" si="6"/>
        <v>0.1</v>
      </c>
      <c r="O33" s="15">
        <f t="shared" si="7"/>
        <v>64859.92387257619</v>
      </c>
      <c r="P33" s="8">
        <f t="shared" si="8"/>
        <v>215.48147465972579</v>
      </c>
      <c r="Q33" s="16">
        <f t="shared" si="9"/>
        <v>62705.109125978968</v>
      </c>
    </row>
    <row r="34" spans="2:17" ht="17.100000000000001" customHeight="1" x14ac:dyDescent="0.3">
      <c r="B34" s="7" t="s">
        <v>29</v>
      </c>
      <c r="C34" s="7" t="s">
        <v>45</v>
      </c>
      <c r="D34" s="8">
        <f>$C$11-750</f>
        <v>64300</v>
      </c>
      <c r="E34" s="9">
        <v>25</v>
      </c>
      <c r="F34" s="10">
        <f t="shared" si="0"/>
        <v>1.8195956454121306E-2</v>
      </c>
      <c r="G34" s="11">
        <f t="shared" si="1"/>
        <v>39</v>
      </c>
      <c r="H34" s="10">
        <f t="shared" si="10"/>
        <v>0.20257375534722705</v>
      </c>
      <c r="I34" s="12">
        <f t="shared" si="11"/>
        <v>436.3</v>
      </c>
      <c r="J34" s="13">
        <f t="shared" si="2"/>
        <v>64613.503252503979</v>
      </c>
      <c r="K34" s="12">
        <f t="shared" si="3"/>
        <v>5000.192468826699</v>
      </c>
      <c r="L34" s="8">
        <f t="shared" si="4"/>
        <v>37651.154096040038</v>
      </c>
      <c r="M34" s="14">
        <f t="shared" si="5"/>
        <v>0.41444550394961061</v>
      </c>
      <c r="N34" s="14">
        <f t="shared" si="6"/>
        <v>0.1</v>
      </c>
      <c r="O34" s="15">
        <f t="shared" si="7"/>
        <v>64828.881596678999</v>
      </c>
      <c r="P34" s="8">
        <f t="shared" si="8"/>
        <v>215.37834417502017</v>
      </c>
      <c r="Q34" s="16">
        <f t="shared" si="9"/>
        <v>62675.098154928855</v>
      </c>
    </row>
    <row r="35" spans="2:17" ht="17.100000000000001" customHeight="1" x14ac:dyDescent="0.3">
      <c r="B35" s="7" t="s">
        <v>29</v>
      </c>
      <c r="C35" s="7" t="s">
        <v>46</v>
      </c>
      <c r="D35" s="8">
        <f>$C$11-800</f>
        <v>64250</v>
      </c>
      <c r="E35" s="9">
        <v>26</v>
      </c>
      <c r="F35" s="10">
        <f t="shared" si="0"/>
        <v>1.8910505836575876E-2</v>
      </c>
      <c r="G35" s="11">
        <f t="shared" si="1"/>
        <v>40.5</v>
      </c>
      <c r="H35" s="10">
        <f t="shared" si="10"/>
        <v>0.22148426118380293</v>
      </c>
      <c r="I35" s="12">
        <f t="shared" si="11"/>
        <v>476.8</v>
      </c>
      <c r="J35" s="13">
        <f t="shared" si="2"/>
        <v>64582.467050015592</v>
      </c>
      <c r="K35" s="12">
        <f t="shared" si="3"/>
        <v>4949.563781059338</v>
      </c>
      <c r="L35" s="8">
        <f t="shared" si="4"/>
        <v>39949.751547751148</v>
      </c>
      <c r="M35" s="14">
        <f t="shared" si="5"/>
        <v>0.37821398369258913</v>
      </c>
      <c r="N35" s="14">
        <f t="shared" si="6"/>
        <v>0.1</v>
      </c>
      <c r="O35" s="15">
        <f t="shared" si="7"/>
        <v>64797.741940182314</v>
      </c>
      <c r="P35" s="8">
        <f t="shared" si="8"/>
        <v>215.27489016672189</v>
      </c>
      <c r="Q35" s="16">
        <f t="shared" si="9"/>
        <v>62644.993038515124</v>
      </c>
    </row>
    <row r="36" spans="2:17" ht="17.100000000000001" customHeight="1" x14ac:dyDescent="0.3">
      <c r="B36" s="7" t="s">
        <v>29</v>
      </c>
      <c r="C36" s="7" t="s">
        <v>47</v>
      </c>
      <c r="D36" s="8">
        <f>$C$11-850</f>
        <v>64200</v>
      </c>
      <c r="E36" s="9">
        <v>27</v>
      </c>
      <c r="F36" s="10">
        <f t="shared" si="0"/>
        <v>1.9672897196261682E-2</v>
      </c>
      <c r="G36" s="11">
        <f t="shared" si="1"/>
        <v>42.1</v>
      </c>
      <c r="H36" s="10">
        <f t="shared" si="10"/>
        <v>0.24115715838006463</v>
      </c>
      <c r="I36" s="12">
        <f t="shared" si="11"/>
        <v>518.9</v>
      </c>
      <c r="J36" s="13">
        <f t="shared" si="2"/>
        <v>64551.266504253406</v>
      </c>
      <c r="K36" s="12">
        <f t="shared" si="3"/>
        <v>4896.3895680001497</v>
      </c>
      <c r="L36" s="8">
        <f t="shared" si="4"/>
        <v>41954.333877799036</v>
      </c>
      <c r="M36" s="14">
        <f t="shared" si="5"/>
        <v>0.34650570283802123</v>
      </c>
      <c r="N36" s="14">
        <f t="shared" si="6"/>
        <v>0.1</v>
      </c>
      <c r="O36" s="15">
        <f t="shared" si="7"/>
        <v>64766.437392600921</v>
      </c>
      <c r="P36" s="8">
        <f t="shared" si="8"/>
        <v>215.17088834751485</v>
      </c>
      <c r="Q36" s="16">
        <f t="shared" si="9"/>
        <v>62614.728509125802</v>
      </c>
    </row>
    <row r="37" spans="2:17" ht="17.100000000000001" customHeight="1" x14ac:dyDescent="0.3">
      <c r="B37" s="7" t="s">
        <v>29</v>
      </c>
      <c r="C37" s="7" t="s">
        <v>48</v>
      </c>
      <c r="D37" s="8">
        <f>$C$11-900</f>
        <v>64150</v>
      </c>
      <c r="E37" s="9">
        <v>28</v>
      </c>
      <c r="F37" s="10">
        <f t="shared" si="0"/>
        <v>2.0389711613406081E-2</v>
      </c>
      <c r="G37" s="11">
        <f t="shared" si="1"/>
        <v>43.6</v>
      </c>
      <c r="H37" s="10">
        <f t="shared" si="10"/>
        <v>0.26154686999347071</v>
      </c>
      <c r="I37" s="12">
        <f t="shared" si="11"/>
        <v>562.5</v>
      </c>
      <c r="J37" s="13">
        <f t="shared" si="2"/>
        <v>64519.984507638226</v>
      </c>
      <c r="K37" s="12">
        <f t="shared" si="3"/>
        <v>4840.731710081147</v>
      </c>
      <c r="L37" s="8">
        <f t="shared" si="4"/>
        <v>43709.797805286275</v>
      </c>
      <c r="M37" s="14">
        <f t="shared" si="5"/>
        <v>0.31863136702593492</v>
      </c>
      <c r="N37" s="14">
        <f t="shared" si="6"/>
        <v>0.1</v>
      </c>
      <c r="O37" s="15">
        <f t="shared" si="7"/>
        <v>64735.051122663695</v>
      </c>
      <c r="P37" s="8">
        <f t="shared" si="8"/>
        <v>215.06661502546922</v>
      </c>
      <c r="Q37" s="16">
        <f t="shared" si="9"/>
        <v>62584.384972409076</v>
      </c>
    </row>
    <row r="38" spans="2:17" ht="17.100000000000001" customHeight="1" x14ac:dyDescent="0.3">
      <c r="B38" s="7" t="s">
        <v>29</v>
      </c>
      <c r="C38" s="7" t="s">
        <v>49</v>
      </c>
      <c r="D38" s="8">
        <f>$C$11-950</f>
        <v>64100</v>
      </c>
      <c r="E38" s="9">
        <v>29</v>
      </c>
      <c r="F38" s="10">
        <f t="shared" si="0"/>
        <v>2.1154446177847112E-2</v>
      </c>
      <c r="G38" s="11">
        <f t="shared" si="1"/>
        <v>45.2</v>
      </c>
      <c r="H38" s="10">
        <f t="shared" si="10"/>
        <v>0.28270131617131783</v>
      </c>
      <c r="I38" s="12">
        <f t="shared" si="11"/>
        <v>607.70000000000005</v>
      </c>
      <c r="J38" s="13">
        <f t="shared" si="2"/>
        <v>64488.55720555599</v>
      </c>
      <c r="K38" s="12">
        <f t="shared" si="3"/>
        <v>4782.4543665814726</v>
      </c>
      <c r="L38" s="8">
        <f t="shared" si="4"/>
        <v>45259.693331664814</v>
      </c>
      <c r="M38" s="14">
        <f t="shared" si="5"/>
        <v>0.29392054084766284</v>
      </c>
      <c r="N38" s="14">
        <f t="shared" si="6"/>
        <v>0.1</v>
      </c>
      <c r="O38" s="15">
        <f t="shared" si="7"/>
        <v>64703.51906290785</v>
      </c>
      <c r="P38" s="8">
        <f t="shared" si="8"/>
        <v>214.96185735186009</v>
      </c>
      <c r="Q38" s="16">
        <f t="shared" si="9"/>
        <v>62553.900489389307</v>
      </c>
    </row>
    <row r="39" spans="2:17" ht="17.100000000000001" customHeight="1" x14ac:dyDescent="0.3">
      <c r="B39" s="7" t="s">
        <v>50</v>
      </c>
      <c r="C39" s="7" t="s">
        <v>30</v>
      </c>
      <c r="D39" s="8">
        <f>$C$11-1000</f>
        <v>64050</v>
      </c>
      <c r="E39" s="9">
        <v>30</v>
      </c>
      <c r="F39" s="10">
        <f t="shared" si="0"/>
        <v>2.1873536299765808E-2</v>
      </c>
      <c r="G39" s="11">
        <f t="shared" si="1"/>
        <v>46.7</v>
      </c>
      <c r="H39" s="10">
        <f t="shared" si="10"/>
        <v>0.30457485247108362</v>
      </c>
      <c r="I39" s="12">
        <f t="shared" si="11"/>
        <v>654.40000000000009</v>
      </c>
      <c r="J39" s="13">
        <f t="shared" si="2"/>
        <v>64457.061509580366</v>
      </c>
      <c r="K39" s="12">
        <f t="shared" si="3"/>
        <v>4721.6193007729034</v>
      </c>
      <c r="L39" s="8">
        <f t="shared" si="4"/>
        <v>46632.264483244966</v>
      </c>
      <c r="M39" s="14">
        <f t="shared" si="5"/>
        <v>0.27193966458633934</v>
      </c>
      <c r="N39" s="14">
        <f t="shared" si="6"/>
        <v>0.05</v>
      </c>
      <c r="O39" s="15">
        <f t="shared" si="7"/>
        <v>64564.489945429668</v>
      </c>
      <c r="P39" s="8">
        <f t="shared" si="8"/>
        <v>107.42843584930233</v>
      </c>
      <c r="Q39" s="16">
        <f t="shared" si="9"/>
        <v>62523.349664292953</v>
      </c>
    </row>
    <row r="40" spans="2:17" ht="17.100000000000001" customHeight="1" x14ac:dyDescent="0.3">
      <c r="B40" s="7" t="s">
        <v>50</v>
      </c>
      <c r="C40" s="7" t="s">
        <v>31</v>
      </c>
      <c r="D40" s="8">
        <f>$C$11-1050</f>
        <v>64000</v>
      </c>
      <c r="E40" s="9">
        <v>32</v>
      </c>
      <c r="F40" s="10">
        <f t="shared" si="0"/>
        <v>2.3390625000000002E-2</v>
      </c>
      <c r="G40" s="11">
        <f t="shared" si="1"/>
        <v>49.9</v>
      </c>
      <c r="H40" s="10">
        <f t="shared" si="10"/>
        <v>0.32796547747108362</v>
      </c>
      <c r="I40" s="12">
        <f t="shared" si="11"/>
        <v>704.30000000000007</v>
      </c>
      <c r="J40" s="13">
        <f t="shared" si="2"/>
        <v>64424.46370552195</v>
      </c>
      <c r="K40" s="12">
        <f t="shared" si="3"/>
        <v>4656.4905581493476</v>
      </c>
      <c r="L40" s="8">
        <f t="shared" si="4"/>
        <v>47893.875323591434</v>
      </c>
      <c r="M40" s="14">
        <f t="shared" si="5"/>
        <v>0.25165819806888384</v>
      </c>
      <c r="N40" s="14">
        <f t="shared" si="6"/>
        <v>0.05</v>
      </c>
      <c r="O40" s="15">
        <f t="shared" si="7"/>
        <v>64531.83781169782</v>
      </c>
      <c r="P40" s="8">
        <f t="shared" si="8"/>
        <v>107.37410617587011</v>
      </c>
      <c r="Q40" s="16">
        <f t="shared" si="9"/>
        <v>62491.729794356288</v>
      </c>
    </row>
    <row r="41" spans="2:17" ht="17.100000000000001" customHeight="1" x14ac:dyDescent="0.3">
      <c r="B41" s="7" t="s">
        <v>50</v>
      </c>
      <c r="C41" s="7" t="s">
        <v>32</v>
      </c>
      <c r="D41" s="8">
        <f>$C$11-1100</f>
        <v>63950</v>
      </c>
      <c r="E41" s="9">
        <v>34</v>
      </c>
      <c r="F41" s="10">
        <f t="shared" si="0"/>
        <v>2.4863174354964816E-2</v>
      </c>
      <c r="G41" s="11">
        <f t="shared" si="1"/>
        <v>53</v>
      </c>
      <c r="H41" s="10">
        <f t="shared" si="10"/>
        <v>0.35282865182604845</v>
      </c>
      <c r="I41" s="12">
        <f t="shared" si="11"/>
        <v>757.30000000000007</v>
      </c>
      <c r="J41" s="13">
        <f t="shared" si="2"/>
        <v>64391.029136717967</v>
      </c>
      <c r="K41" s="12">
        <f t="shared" si="3"/>
        <v>4587.0922842757936</v>
      </c>
      <c r="L41" s="8">
        <f t="shared" si="4"/>
        <v>49047.965772130461</v>
      </c>
      <c r="M41" s="14">
        <f t="shared" si="5"/>
        <v>0.2330263366359584</v>
      </c>
      <c r="N41" s="14">
        <f t="shared" si="6"/>
        <v>0.05</v>
      </c>
      <c r="O41" s="15">
        <f t="shared" si="7"/>
        <v>64498.3475186125</v>
      </c>
      <c r="P41" s="8">
        <f t="shared" si="8"/>
        <v>107.31838189453265</v>
      </c>
      <c r="Q41" s="16">
        <f t="shared" si="9"/>
        <v>62459.298262616423</v>
      </c>
    </row>
    <row r="42" spans="2:17" ht="17.100000000000001" customHeight="1" x14ac:dyDescent="0.3">
      <c r="B42" s="7" t="s">
        <v>50</v>
      </c>
      <c r="C42" s="7" t="s">
        <v>33</v>
      </c>
      <c r="D42" s="8">
        <f>$C$11-1150</f>
        <v>63900</v>
      </c>
      <c r="E42" s="9">
        <v>36</v>
      </c>
      <c r="F42" s="10">
        <f t="shared" si="0"/>
        <v>2.6338028169014083E-2</v>
      </c>
      <c r="G42" s="11">
        <f t="shared" si="1"/>
        <v>56.1</v>
      </c>
      <c r="H42" s="10">
        <f t="shared" si="10"/>
        <v>0.37916667999506254</v>
      </c>
      <c r="I42" s="12">
        <f t="shared" si="11"/>
        <v>813.40000000000009</v>
      </c>
      <c r="J42" s="13">
        <f t="shared" si="2"/>
        <v>64356.920814660625</v>
      </c>
      <c r="K42" s="12">
        <f t="shared" si="3"/>
        <v>4513.3508516844922</v>
      </c>
      <c r="L42" s="8">
        <f t="shared" si="4"/>
        <v>50101.936501568372</v>
      </c>
      <c r="M42" s="14">
        <f t="shared" si="5"/>
        <v>0.21593213612569057</v>
      </c>
      <c r="N42" s="14">
        <f t="shared" si="6"/>
        <v>0.05</v>
      </c>
      <c r="O42" s="15">
        <f t="shared" si="7"/>
        <v>64464.182349351729</v>
      </c>
      <c r="P42" s="8">
        <f t="shared" si="8"/>
        <v>107.26153469110432</v>
      </c>
      <c r="Q42" s="16">
        <f t="shared" si="9"/>
        <v>62426.213190220806</v>
      </c>
    </row>
    <row r="43" spans="2:17" ht="17.100000000000001" customHeight="1" x14ac:dyDescent="0.3">
      <c r="B43" s="7" t="s">
        <v>50</v>
      </c>
      <c r="C43" s="7" t="s">
        <v>34</v>
      </c>
      <c r="D43" s="8">
        <f>$C$11-1200</f>
        <v>63850</v>
      </c>
      <c r="E43" s="9">
        <v>38</v>
      </c>
      <c r="F43" s="10">
        <f t="shared" si="0"/>
        <v>2.7815191855912295E-2</v>
      </c>
      <c r="G43" s="11">
        <f t="shared" si="1"/>
        <v>59.2</v>
      </c>
      <c r="H43" s="10">
        <f t="shared" si="10"/>
        <v>0.40698187185097484</v>
      </c>
      <c r="I43" s="12">
        <f t="shared" si="11"/>
        <v>872.60000000000014</v>
      </c>
      <c r="J43" s="13">
        <f t="shared" si="2"/>
        <v>64322.27529187256</v>
      </c>
      <c r="K43" s="12">
        <f t="shared" si="3"/>
        <v>4435.1925176847399</v>
      </c>
      <c r="L43" s="8">
        <f t="shared" si="4"/>
        <v>51063.477233571815</v>
      </c>
      <c r="M43" s="14">
        <f t="shared" si="5"/>
        <v>0.20025877472871081</v>
      </c>
      <c r="N43" s="14">
        <f t="shared" si="6"/>
        <v>0.05</v>
      </c>
      <c r="O43" s="15">
        <f t="shared" si="7"/>
        <v>64429.479084025683</v>
      </c>
      <c r="P43" s="8">
        <f t="shared" si="8"/>
        <v>107.20379215312278</v>
      </c>
      <c r="Q43" s="16">
        <f t="shared" si="9"/>
        <v>62392.607033116379</v>
      </c>
    </row>
    <row r="44" spans="2:17" ht="17.100000000000001" customHeight="1" x14ac:dyDescent="0.3">
      <c r="B44" s="7" t="s">
        <v>50</v>
      </c>
      <c r="C44" s="7" t="s">
        <v>35</v>
      </c>
      <c r="D44" s="8">
        <f>$C$11-1250</f>
        <v>63800</v>
      </c>
      <c r="E44" s="9">
        <v>40</v>
      </c>
      <c r="F44" s="10">
        <f t="shared" si="0"/>
        <v>2.9294670846394984E-2</v>
      </c>
      <c r="G44" s="11">
        <f t="shared" si="1"/>
        <v>62.3</v>
      </c>
      <c r="H44" s="10">
        <f t="shared" si="10"/>
        <v>0.43627654269736982</v>
      </c>
      <c r="I44" s="12">
        <f t="shared" si="11"/>
        <v>934.90000000000009</v>
      </c>
      <c r="J44" s="13">
        <f t="shared" si="2"/>
        <v>64287.206061076846</v>
      </c>
      <c r="K44" s="12">
        <f t="shared" si="3"/>
        <v>4352.5434240921904</v>
      </c>
      <c r="L44" s="8">
        <f t="shared" si="4"/>
        <v>51940.224352736681</v>
      </c>
      <c r="M44" s="14">
        <f t="shared" si="5"/>
        <v>0.18588990042732476</v>
      </c>
      <c r="N44" s="14">
        <f t="shared" si="6"/>
        <v>0.05</v>
      </c>
      <c r="O44" s="15">
        <f t="shared" si="7"/>
        <v>64394.351404511974</v>
      </c>
      <c r="P44" s="8">
        <f t="shared" si="8"/>
        <v>107.14534343512787</v>
      </c>
      <c r="Q44" s="16">
        <f t="shared" si="9"/>
        <v>62358.589879244537</v>
      </c>
    </row>
    <row r="45" spans="2:17" ht="17.100000000000001" customHeight="1" x14ac:dyDescent="0.3">
      <c r="B45" s="7" t="s">
        <v>50</v>
      </c>
      <c r="C45" s="7" t="s">
        <v>36</v>
      </c>
      <c r="D45" s="8">
        <f>$C$11-1300</f>
        <v>63750</v>
      </c>
      <c r="E45" s="9">
        <v>42</v>
      </c>
      <c r="F45" s="10">
        <f t="shared" si="0"/>
        <v>3.0776470588235297E-2</v>
      </c>
      <c r="G45" s="11">
        <f t="shared" si="1"/>
        <v>65.400000000000006</v>
      </c>
      <c r="H45" s="10">
        <f t="shared" si="10"/>
        <v>0.46705301328560511</v>
      </c>
      <c r="I45" s="12">
        <f t="shared" si="11"/>
        <v>1000.3000000000001</v>
      </c>
      <c r="J45" s="13">
        <f t="shared" si="2"/>
        <v>64251.806853560236</v>
      </c>
      <c r="K45" s="12">
        <f t="shared" si="3"/>
        <v>4265.3295969573228</v>
      </c>
      <c r="L45" s="8">
        <f t="shared" si="4"/>
        <v>52739.539417032778</v>
      </c>
      <c r="M45" s="14">
        <f t="shared" si="5"/>
        <v>0.17271310718379956</v>
      </c>
      <c r="N45" s="14">
        <f t="shared" si="6"/>
        <v>0.05</v>
      </c>
      <c r="O45" s="15">
        <f t="shared" si="7"/>
        <v>64358.893198316175</v>
      </c>
      <c r="P45" s="8">
        <f t="shared" si="8"/>
        <v>107.08634475593863</v>
      </c>
      <c r="Q45" s="16">
        <f t="shared" si="9"/>
        <v>62324.252647953428</v>
      </c>
    </row>
    <row r="46" spans="2:17" ht="17.100000000000001" customHeight="1" x14ac:dyDescent="0.3">
      <c r="B46" s="7" t="s">
        <v>50</v>
      </c>
      <c r="C46" s="7" t="s">
        <v>37</v>
      </c>
      <c r="D46" s="8">
        <f>$C$11-1350</f>
        <v>63700</v>
      </c>
      <c r="E46" s="9">
        <v>44</v>
      </c>
      <c r="F46" s="10">
        <f t="shared" si="0"/>
        <v>3.2307692307692308E-2</v>
      </c>
      <c r="G46" s="11">
        <f t="shared" si="1"/>
        <v>68.599999999999994</v>
      </c>
      <c r="H46" s="10">
        <f t="shared" si="10"/>
        <v>0.49936070559329743</v>
      </c>
      <c r="I46" s="12">
        <f t="shared" si="11"/>
        <v>1068.9000000000001</v>
      </c>
      <c r="J46" s="13">
        <f t="shared" si="2"/>
        <v>64216.105994765356</v>
      </c>
      <c r="K46" s="12">
        <f t="shared" si="3"/>
        <v>4173.3769462930413</v>
      </c>
      <c r="L46" s="8">
        <f t="shared" si="4"/>
        <v>53469.37036393278</v>
      </c>
      <c r="M46" s="14">
        <f t="shared" si="5"/>
        <v>0.1606064307074917</v>
      </c>
      <c r="N46" s="14">
        <f t="shared" si="6"/>
        <v>0.05</v>
      </c>
      <c r="O46" s="15">
        <f t="shared" si="7"/>
        <v>64323.132838089965</v>
      </c>
      <c r="P46" s="8">
        <f t="shared" si="8"/>
        <v>107.02684332460922</v>
      </c>
      <c r="Q46" s="16">
        <f t="shared" si="9"/>
        <v>62289.62281492239</v>
      </c>
    </row>
    <row r="47" spans="2:17" ht="17.100000000000001" customHeight="1" x14ac:dyDescent="0.3">
      <c r="B47" s="7" t="s">
        <v>50</v>
      </c>
      <c r="C47" s="7" t="s">
        <v>38</v>
      </c>
      <c r="D47" s="8">
        <f>$C$11-1400</f>
        <v>63650</v>
      </c>
      <c r="E47" s="9">
        <v>46</v>
      </c>
      <c r="F47" s="10">
        <f t="shared" si="0"/>
        <v>3.3794186959937154E-2</v>
      </c>
      <c r="G47" s="11">
        <f t="shared" si="1"/>
        <v>71.7</v>
      </c>
      <c r="H47" s="10">
        <f t="shared" si="10"/>
        <v>0.53315489255323456</v>
      </c>
      <c r="I47" s="12">
        <f t="shared" si="11"/>
        <v>1140.6000000000001</v>
      </c>
      <c r="J47" s="13">
        <f t="shared" si="2"/>
        <v>64180.223192049954</v>
      </c>
      <c r="K47" s="12">
        <f t="shared" si="3"/>
        <v>4076.7089110133729</v>
      </c>
      <c r="L47" s="8">
        <f t="shared" si="4"/>
        <v>54134.94644974509</v>
      </c>
      <c r="M47" s="14">
        <f t="shared" si="5"/>
        <v>0.14949023645333714</v>
      </c>
      <c r="N47" s="14">
        <f t="shared" si="6"/>
        <v>0.05</v>
      </c>
      <c r="O47" s="15">
        <f t="shared" si="7"/>
        <v>64287.190230703374</v>
      </c>
      <c r="P47" s="8">
        <f t="shared" si="8"/>
        <v>106.96703865341988</v>
      </c>
      <c r="Q47" s="16">
        <f t="shared" si="9"/>
        <v>62254.816496288455</v>
      </c>
    </row>
    <row r="48" spans="2:17" ht="17.100000000000001" customHeight="1" x14ac:dyDescent="0.3">
      <c r="B48" s="7" t="s">
        <v>50</v>
      </c>
      <c r="C48" s="7" t="s">
        <v>39</v>
      </c>
      <c r="D48" s="8">
        <f>$C$11-1450</f>
        <v>63600</v>
      </c>
      <c r="E48" s="9">
        <v>48</v>
      </c>
      <c r="F48" s="10">
        <f t="shared" si="0"/>
        <v>3.528301886792453E-2</v>
      </c>
      <c r="G48" s="11">
        <f t="shared" si="1"/>
        <v>74.8</v>
      </c>
      <c r="H48" s="10">
        <f t="shared" si="10"/>
        <v>0.56843791142115907</v>
      </c>
      <c r="I48" s="12">
        <f t="shared" si="11"/>
        <v>1215.4000000000001</v>
      </c>
      <c r="J48" s="13">
        <f t="shared" si="2"/>
        <v>64144.208659202333</v>
      </c>
      <c r="K48" s="12">
        <f t="shared" si="3"/>
        <v>3975.2511663857167</v>
      </c>
      <c r="L48" s="8">
        <f t="shared" si="4"/>
        <v>54742.28110841693</v>
      </c>
      <c r="M48" s="14">
        <f t="shared" si="5"/>
        <v>0.139272309616086</v>
      </c>
      <c r="N48" s="14">
        <f t="shared" si="6"/>
        <v>0.05</v>
      </c>
      <c r="O48" s="15">
        <f t="shared" si="7"/>
        <v>64251.11567363434</v>
      </c>
      <c r="P48" s="8">
        <f t="shared" si="8"/>
        <v>106.90701443200669</v>
      </c>
      <c r="Q48" s="16">
        <f t="shared" si="9"/>
        <v>62219.882399426264</v>
      </c>
    </row>
    <row r="49" spans="2:17" ht="17.100000000000001" customHeight="1" x14ac:dyDescent="0.3">
      <c r="B49" s="7" t="s">
        <v>50</v>
      </c>
      <c r="C49" s="7" t="s">
        <v>40</v>
      </c>
      <c r="D49" s="8">
        <f>$C$11-1500</f>
        <v>63550</v>
      </c>
      <c r="E49" s="9">
        <v>50</v>
      </c>
      <c r="F49" s="10">
        <f t="shared" si="0"/>
        <v>3.6774193548387096E-2</v>
      </c>
      <c r="G49" s="11">
        <f t="shared" si="1"/>
        <v>77.900000000000006</v>
      </c>
      <c r="H49" s="10">
        <f t="shared" si="10"/>
        <v>0.60521210496954614</v>
      </c>
      <c r="I49" s="12">
        <f t="shared" si="11"/>
        <v>1293.3000000000002</v>
      </c>
      <c r="J49" s="13">
        <f t="shared" si="2"/>
        <v>64108.103062400492</v>
      </c>
      <c r="K49" s="12">
        <f t="shared" si="3"/>
        <v>3868.9292708146477</v>
      </c>
      <c r="L49" s="8">
        <f t="shared" si="4"/>
        <v>55296.86432821014</v>
      </c>
      <c r="M49" s="14">
        <f t="shared" si="5"/>
        <v>0.12986838193217717</v>
      </c>
      <c r="N49" s="14">
        <f t="shared" si="6"/>
        <v>0.05</v>
      </c>
      <c r="O49" s="15">
        <f t="shared" si="7"/>
        <v>64214.949900837826</v>
      </c>
      <c r="P49" s="8">
        <f t="shared" si="8"/>
        <v>106.84683843733364</v>
      </c>
      <c r="Q49" s="16">
        <f t="shared" si="9"/>
        <v>62184.85997052848</v>
      </c>
    </row>
    <row r="50" spans="2:17" ht="17.100000000000001" customHeight="1" x14ac:dyDescent="0.3">
      <c r="B50" s="7" t="s">
        <v>50</v>
      </c>
      <c r="C50" s="7" t="s">
        <v>41</v>
      </c>
      <c r="D50" s="8">
        <f>$C$11-1550</f>
        <v>63500</v>
      </c>
      <c r="E50" s="9">
        <v>52</v>
      </c>
      <c r="F50" s="10">
        <f t="shared" si="0"/>
        <v>3.8267716535433073E-2</v>
      </c>
      <c r="G50" s="11">
        <f t="shared" si="1"/>
        <v>81</v>
      </c>
      <c r="H50" s="10">
        <f t="shared" si="10"/>
        <v>0.64347982150497918</v>
      </c>
      <c r="I50" s="12">
        <f t="shared" si="11"/>
        <v>1374.3000000000002</v>
      </c>
      <c r="J50" s="13">
        <f t="shared" si="2"/>
        <v>64071.939200164932</v>
      </c>
      <c r="K50" s="12">
        <f t="shared" si="3"/>
        <v>3757.6686655661688</v>
      </c>
      <c r="L50" s="8">
        <f t="shared" si="4"/>
        <v>55803.681037867624</v>
      </c>
      <c r="M50" s="14">
        <f t="shared" si="5"/>
        <v>0.1212018734194075</v>
      </c>
      <c r="N50" s="14">
        <f t="shared" si="6"/>
        <v>0.05</v>
      </c>
      <c r="O50" s="15">
        <f t="shared" si="7"/>
        <v>64178.725765498544</v>
      </c>
      <c r="P50" s="8">
        <f t="shared" si="8"/>
        <v>106.78656533361209</v>
      </c>
      <c r="Q50" s="16">
        <f t="shared" si="9"/>
        <v>62149.78102415998</v>
      </c>
    </row>
    <row r="51" spans="2:17" ht="17.100000000000001" customHeight="1" x14ac:dyDescent="0.3">
      <c r="B51" s="7" t="s">
        <v>50</v>
      </c>
      <c r="C51" s="7" t="s">
        <v>42</v>
      </c>
      <c r="D51" s="8">
        <f>$C$11-1600</f>
        <v>63450</v>
      </c>
      <c r="E51" s="9">
        <v>54</v>
      </c>
      <c r="F51" s="10">
        <f t="shared" ref="F51:F78" si="12">(G51*$C$13)/D51</f>
        <v>3.9763593380614658E-2</v>
      </c>
      <c r="G51" s="11">
        <f t="shared" ref="G51:G78" si="13">ROUND($C$12*E51/SUM($E$19:$E$78), 1)</f>
        <v>84.1</v>
      </c>
      <c r="H51" s="10">
        <f t="shared" si="10"/>
        <v>0.68324341488559381</v>
      </c>
      <c r="I51" s="12">
        <f t="shared" si="11"/>
        <v>1458.4</v>
      </c>
      <c r="J51" s="13">
        <f t="shared" ref="J51:J78" si="14">I51*$C$13/H51</f>
        <v>64035.743406800466</v>
      </c>
      <c r="K51" s="12">
        <f t="shared" ref="K51:K78" si="15">$C$12-I51+H51*(D51-J51)</f>
        <v>3641.3946744909281</v>
      </c>
      <c r="L51" s="8">
        <f t="shared" ref="L51:L78" si="16">(J51*H51-$C$12)/(H51*(1-$C$14))</f>
        <v>56267.239856186476</v>
      </c>
      <c r="M51" s="14">
        <f t="shared" ref="M51:M78" si="17">(D51-L51)/D51</f>
        <v>0.11320346956364892</v>
      </c>
      <c r="N51" s="14">
        <f t="shared" ref="N51:N78" si="18">IF(B51="1차",0.1,IF(B51="2차",0.05,0.02))</f>
        <v>0.05</v>
      </c>
      <c r="O51" s="15">
        <f t="shared" ref="O51:O78" si="19">J51*(1+N51/$C$13)</f>
        <v>64142.469645811805</v>
      </c>
      <c r="P51" s="8">
        <f t="shared" ref="P51:P78" si="20">O51-J51</f>
        <v>106.7262390113392</v>
      </c>
      <c r="Q51" s="16">
        <f t="shared" ref="Q51:Q78" si="21">J51*(1-$C$15)</f>
        <v>62114.671104596448</v>
      </c>
    </row>
    <row r="52" spans="2:17" ht="17.100000000000001" customHeight="1" x14ac:dyDescent="0.3">
      <c r="B52" s="7" t="s">
        <v>50</v>
      </c>
      <c r="C52" s="7" t="s">
        <v>43</v>
      </c>
      <c r="D52" s="8">
        <f>$C$11-1650</f>
        <v>63400</v>
      </c>
      <c r="E52" s="9">
        <v>56</v>
      </c>
      <c r="F52" s="10">
        <f t="shared" si="12"/>
        <v>4.1309148264984226E-2</v>
      </c>
      <c r="G52" s="11">
        <f t="shared" si="13"/>
        <v>87.3</v>
      </c>
      <c r="H52" s="10">
        <f t="shared" ref="H52:H78" si="22">H51+F52</f>
        <v>0.72455256315057803</v>
      </c>
      <c r="I52" s="12">
        <f t="shared" ref="I52:I78" si="23">I51+G52</f>
        <v>1545.7</v>
      </c>
      <c r="J52" s="13">
        <f t="shared" si="14"/>
        <v>63999.497563523328</v>
      </c>
      <c r="K52" s="12">
        <f t="shared" si="15"/>
        <v>3519.9325037466465</v>
      </c>
      <c r="L52" s="8">
        <f t="shared" si="16"/>
        <v>56692.066246974493</v>
      </c>
      <c r="M52" s="14">
        <f t="shared" si="17"/>
        <v>0.10580337149882503</v>
      </c>
      <c r="N52" s="14">
        <f t="shared" si="18"/>
        <v>0.05</v>
      </c>
      <c r="O52" s="15">
        <f t="shared" si="19"/>
        <v>64106.163392795868</v>
      </c>
      <c r="P52" s="8">
        <f t="shared" si="20"/>
        <v>106.66582927254058</v>
      </c>
      <c r="Q52" s="16">
        <f t="shared" si="21"/>
        <v>62079.512636617626</v>
      </c>
    </row>
    <row r="53" spans="2:17" ht="17.100000000000001" customHeight="1" x14ac:dyDescent="0.3">
      <c r="B53" s="7" t="s">
        <v>50</v>
      </c>
      <c r="C53" s="7" t="s">
        <v>44</v>
      </c>
      <c r="D53" s="8">
        <f>$C$11-1700</f>
        <v>63350</v>
      </c>
      <c r="E53" s="9">
        <v>58</v>
      </c>
      <c r="F53" s="10">
        <f t="shared" si="12"/>
        <v>4.2809786898184689E-2</v>
      </c>
      <c r="G53" s="11">
        <f t="shared" si="13"/>
        <v>90.4</v>
      </c>
      <c r="H53" s="10">
        <f t="shared" si="22"/>
        <v>0.76736235004876274</v>
      </c>
      <c r="I53" s="12">
        <f t="shared" si="23"/>
        <v>1636.1000000000001</v>
      </c>
      <c r="J53" s="13">
        <f t="shared" si="14"/>
        <v>63963.263244386413</v>
      </c>
      <c r="K53" s="12">
        <f t="shared" si="15"/>
        <v>3393.3048755891132</v>
      </c>
      <c r="L53" s="8">
        <f t="shared" si="16"/>
        <v>57081.260303516101</v>
      </c>
      <c r="M53" s="14">
        <f t="shared" si="17"/>
        <v>9.8954059928711896E-2</v>
      </c>
      <c r="N53" s="14">
        <f t="shared" si="18"/>
        <v>0.05</v>
      </c>
      <c r="O53" s="15">
        <f t="shared" si="19"/>
        <v>64069.868683127061</v>
      </c>
      <c r="P53" s="8">
        <f t="shared" si="20"/>
        <v>106.60543874064751</v>
      </c>
      <c r="Q53" s="16">
        <f t="shared" si="21"/>
        <v>62044.365347054816</v>
      </c>
    </row>
    <row r="54" spans="2:17" ht="17.100000000000001" customHeight="1" x14ac:dyDescent="0.3">
      <c r="B54" s="7" t="s">
        <v>50</v>
      </c>
      <c r="C54" s="7" t="s">
        <v>45</v>
      </c>
      <c r="D54" s="8">
        <f>$C$11-1750</f>
        <v>63300</v>
      </c>
      <c r="E54" s="9">
        <v>60</v>
      </c>
      <c r="F54" s="10">
        <f t="shared" si="12"/>
        <v>4.4312796208530805E-2</v>
      </c>
      <c r="G54" s="11">
        <f t="shared" si="13"/>
        <v>93.5</v>
      </c>
      <c r="H54" s="10">
        <f t="shared" si="22"/>
        <v>0.81167514625729353</v>
      </c>
      <c r="I54" s="12">
        <f t="shared" si="23"/>
        <v>1729.6000000000001</v>
      </c>
      <c r="J54" s="13">
        <f t="shared" si="14"/>
        <v>63927.052884716504</v>
      </c>
      <c r="K54" s="12">
        <f t="shared" si="15"/>
        <v>3261.4367580866733</v>
      </c>
      <c r="L54" s="8">
        <f t="shared" si="16"/>
        <v>57438.133645723006</v>
      </c>
      <c r="M54" s="14">
        <f t="shared" si="17"/>
        <v>9.2604523764249505E-2</v>
      </c>
      <c r="N54" s="14">
        <f t="shared" si="18"/>
        <v>0.05</v>
      </c>
      <c r="O54" s="15">
        <f t="shared" si="19"/>
        <v>64033.5979728577</v>
      </c>
      <c r="P54" s="8">
        <f t="shared" si="20"/>
        <v>106.54508814119617</v>
      </c>
      <c r="Q54" s="16">
        <f t="shared" si="21"/>
        <v>62009.241298175009</v>
      </c>
    </row>
    <row r="55" spans="2:17" ht="17.100000000000001" customHeight="1" x14ac:dyDescent="0.3">
      <c r="B55" s="7" t="s">
        <v>50</v>
      </c>
      <c r="C55" s="7" t="s">
        <v>46</v>
      </c>
      <c r="D55" s="8">
        <f>$C$11-1800</f>
        <v>63250</v>
      </c>
      <c r="E55" s="9">
        <v>62</v>
      </c>
      <c r="F55" s="10">
        <f t="shared" si="12"/>
        <v>4.581818181818182E-2</v>
      </c>
      <c r="G55" s="11">
        <f t="shared" si="13"/>
        <v>96.6</v>
      </c>
      <c r="H55" s="10">
        <f t="shared" si="22"/>
        <v>0.8574933280754754</v>
      </c>
      <c r="I55" s="12">
        <f t="shared" si="23"/>
        <v>1826.2</v>
      </c>
      <c r="J55" s="13">
        <f t="shared" si="14"/>
        <v>63890.876122569447</v>
      </c>
      <c r="K55" s="12">
        <f t="shared" si="15"/>
        <v>3124.2530007738187</v>
      </c>
      <c r="L55" s="8">
        <f t="shared" si="16"/>
        <v>57765.660349661237</v>
      </c>
      <c r="M55" s="14">
        <f t="shared" si="17"/>
        <v>8.6708927278083214E-2</v>
      </c>
      <c r="N55" s="14">
        <f t="shared" si="18"/>
        <v>0.05</v>
      </c>
      <c r="O55" s="15">
        <f t="shared" si="19"/>
        <v>63997.360916107064</v>
      </c>
      <c r="P55" s="8">
        <f t="shared" si="20"/>
        <v>106.4847935376165</v>
      </c>
      <c r="Q55" s="16">
        <f t="shared" si="21"/>
        <v>61974.149838892365</v>
      </c>
    </row>
    <row r="56" spans="2:17" ht="17.100000000000001" customHeight="1" x14ac:dyDescent="0.3">
      <c r="B56" s="7" t="s">
        <v>50</v>
      </c>
      <c r="C56" s="7" t="s">
        <v>47</v>
      </c>
      <c r="D56" s="8">
        <f>$C$11-1850</f>
        <v>63200</v>
      </c>
      <c r="E56" s="9">
        <v>64</v>
      </c>
      <c r="F56" s="10">
        <f t="shared" si="12"/>
        <v>4.7325949367088609E-2</v>
      </c>
      <c r="G56" s="11">
        <f t="shared" si="13"/>
        <v>99.7</v>
      </c>
      <c r="H56" s="10">
        <f t="shared" si="22"/>
        <v>0.90481927744256396</v>
      </c>
      <c r="I56" s="12">
        <f t="shared" si="23"/>
        <v>1925.9</v>
      </c>
      <c r="J56" s="13">
        <f t="shared" si="14"/>
        <v>63854.740322624886</v>
      </c>
      <c r="K56" s="12">
        <f t="shared" si="15"/>
        <v>2981.678334370039</v>
      </c>
      <c r="L56" s="8">
        <f t="shared" si="16"/>
        <v>58066.510962237342</v>
      </c>
      <c r="M56" s="14">
        <f t="shared" si="17"/>
        <v>8.1226092369662314E-2</v>
      </c>
      <c r="N56" s="14">
        <f t="shared" si="18"/>
        <v>0.05</v>
      </c>
      <c r="O56" s="15">
        <f t="shared" si="19"/>
        <v>63961.164889829262</v>
      </c>
      <c r="P56" s="8">
        <f t="shared" si="20"/>
        <v>106.42456720437622</v>
      </c>
      <c r="Q56" s="16">
        <f t="shared" si="21"/>
        <v>61939.098112946136</v>
      </c>
    </row>
    <row r="57" spans="2:17" ht="17.100000000000001" customHeight="1" x14ac:dyDescent="0.3">
      <c r="B57" s="7" t="s">
        <v>50</v>
      </c>
      <c r="C57" s="7" t="s">
        <v>48</v>
      </c>
      <c r="D57" s="8">
        <f>$C$11-1900</f>
        <v>63150</v>
      </c>
      <c r="E57" s="9">
        <v>66</v>
      </c>
      <c r="F57" s="10">
        <f t="shared" si="12"/>
        <v>4.8836104513064131E-2</v>
      </c>
      <c r="G57" s="11">
        <f t="shared" si="13"/>
        <v>102.8</v>
      </c>
      <c r="H57" s="10">
        <f t="shared" si="22"/>
        <v>0.95365538195562805</v>
      </c>
      <c r="I57" s="12">
        <f t="shared" si="23"/>
        <v>2028.7</v>
      </c>
      <c r="J57" s="13">
        <f t="shared" si="14"/>
        <v>63818.65100493058</v>
      </c>
      <c r="K57" s="12">
        <f t="shared" si="15"/>
        <v>2833.6373704979137</v>
      </c>
      <c r="L57" s="8">
        <f t="shared" si="16"/>
        <v>58343.083919688186</v>
      </c>
      <c r="M57" s="14">
        <f t="shared" si="17"/>
        <v>7.6119019482372346E-2</v>
      </c>
      <c r="N57" s="14">
        <f t="shared" si="18"/>
        <v>0.05</v>
      </c>
      <c r="O57" s="15">
        <f t="shared" si="19"/>
        <v>63925.015423272132</v>
      </c>
      <c r="P57" s="8">
        <f t="shared" si="20"/>
        <v>106.36441834155266</v>
      </c>
      <c r="Q57" s="16">
        <f t="shared" si="21"/>
        <v>61904.091474782661</v>
      </c>
    </row>
    <row r="58" spans="2:17" ht="17.100000000000001" customHeight="1" x14ac:dyDescent="0.3">
      <c r="B58" s="7" t="s">
        <v>50</v>
      </c>
      <c r="C58" s="7" t="s">
        <v>49</v>
      </c>
      <c r="D58" s="8">
        <f>$C$11-1950</f>
        <v>63100</v>
      </c>
      <c r="E58" s="9">
        <v>68</v>
      </c>
      <c r="F58" s="10">
        <f t="shared" si="12"/>
        <v>5.0348652931854199E-2</v>
      </c>
      <c r="G58" s="11">
        <f t="shared" si="13"/>
        <v>105.9</v>
      </c>
      <c r="H58" s="10">
        <f t="shared" si="22"/>
        <v>1.0040040348874824</v>
      </c>
      <c r="I58" s="12">
        <f t="shared" si="23"/>
        <v>2134.6</v>
      </c>
      <c r="J58" s="13">
        <f t="shared" si="14"/>
        <v>63782.61219555424</v>
      </c>
      <c r="K58" s="12">
        <f t="shared" si="15"/>
        <v>2680.0546014001397</v>
      </c>
      <c r="L58" s="8">
        <f t="shared" si="16"/>
        <v>58597.534232632199</v>
      </c>
      <c r="M58" s="14">
        <f t="shared" si="17"/>
        <v>7.1354449562088765E-2</v>
      </c>
      <c r="N58" s="14">
        <f t="shared" si="18"/>
        <v>0.05</v>
      </c>
      <c r="O58" s="15">
        <f t="shared" si="19"/>
        <v>63888.9165492135</v>
      </c>
      <c r="P58" s="8">
        <f t="shared" si="20"/>
        <v>106.3043536592595</v>
      </c>
      <c r="Q58" s="16">
        <f t="shared" si="21"/>
        <v>61869.133829687613</v>
      </c>
    </row>
    <row r="59" spans="2:17" ht="17.100000000000001" customHeight="1" x14ac:dyDescent="0.3">
      <c r="B59" s="7" t="s">
        <v>51</v>
      </c>
      <c r="C59" s="7" t="s">
        <v>30</v>
      </c>
      <c r="D59" s="8">
        <f>$C$11-2000</f>
        <v>63050</v>
      </c>
      <c r="E59" s="9">
        <v>70</v>
      </c>
      <c r="F59" s="10">
        <f t="shared" si="12"/>
        <v>5.191118160190325E-2</v>
      </c>
      <c r="G59" s="11">
        <f t="shared" si="13"/>
        <v>109.1</v>
      </c>
      <c r="H59" s="10">
        <f t="shared" si="22"/>
        <v>1.0559152164893857</v>
      </c>
      <c r="I59" s="12">
        <f t="shared" si="23"/>
        <v>2243.6999999999998</v>
      </c>
      <c r="J59" s="13">
        <f t="shared" si="14"/>
        <v>63746.595322103334</v>
      </c>
      <c r="K59" s="12">
        <f t="shared" si="15"/>
        <v>2520.7543996557647</v>
      </c>
      <c r="L59" s="8">
        <f t="shared" si="16"/>
        <v>58832.003810625516</v>
      </c>
      <c r="M59" s="14">
        <f t="shared" si="17"/>
        <v>6.689922584257707E-2</v>
      </c>
      <c r="N59" s="14">
        <f t="shared" si="18"/>
        <v>0.02</v>
      </c>
      <c r="O59" s="15">
        <f t="shared" si="19"/>
        <v>63789.093052318065</v>
      </c>
      <c r="P59" s="8">
        <f t="shared" si="20"/>
        <v>42.497730214730836</v>
      </c>
      <c r="Q59" s="16">
        <f t="shared" si="21"/>
        <v>61834.197462440236</v>
      </c>
    </row>
    <row r="60" spans="2:17" ht="17.100000000000001" customHeight="1" x14ac:dyDescent="0.3">
      <c r="B60" s="7" t="s">
        <v>51</v>
      </c>
      <c r="C60" s="7" t="s">
        <v>31</v>
      </c>
      <c r="D60" s="8">
        <f>$C$11-2050</f>
        <v>63000</v>
      </c>
      <c r="E60" s="9">
        <v>74</v>
      </c>
      <c r="F60" s="10">
        <f t="shared" si="12"/>
        <v>5.4904761904761908E-2</v>
      </c>
      <c r="G60" s="11">
        <f t="shared" si="13"/>
        <v>115.3</v>
      </c>
      <c r="H60" s="10">
        <f t="shared" si="22"/>
        <v>1.1108199783941477</v>
      </c>
      <c r="I60" s="12">
        <f t="shared" si="23"/>
        <v>2359</v>
      </c>
      <c r="J60" s="13">
        <f t="shared" si="14"/>
        <v>63709.693178464753</v>
      </c>
      <c r="K60" s="12">
        <f t="shared" si="15"/>
        <v>2352.658638831309</v>
      </c>
      <c r="L60" s="8">
        <f t="shared" si="16"/>
        <v>59053.664163098874</v>
      </c>
      <c r="M60" s="14">
        <f t="shared" si="17"/>
        <v>6.264025137938295E-2</v>
      </c>
      <c r="N60" s="14">
        <f t="shared" si="18"/>
        <v>0.02</v>
      </c>
      <c r="O60" s="15">
        <f t="shared" si="19"/>
        <v>63752.166307250394</v>
      </c>
      <c r="P60" s="8">
        <f t="shared" si="20"/>
        <v>42.473128785641165</v>
      </c>
      <c r="Q60" s="16">
        <f t="shared" si="21"/>
        <v>61798.402383110806</v>
      </c>
    </row>
    <row r="61" spans="2:17" ht="17.100000000000001" customHeight="1" x14ac:dyDescent="0.3">
      <c r="B61" s="7" t="s">
        <v>51</v>
      </c>
      <c r="C61" s="7" t="s">
        <v>32</v>
      </c>
      <c r="D61" s="8">
        <f>$C$11-2100</f>
        <v>62950</v>
      </c>
      <c r="E61" s="9">
        <v>78</v>
      </c>
      <c r="F61" s="10">
        <f t="shared" si="12"/>
        <v>5.7903097696584589E-2</v>
      </c>
      <c r="G61" s="11">
        <f t="shared" si="13"/>
        <v>121.5</v>
      </c>
      <c r="H61" s="10">
        <f t="shared" si="22"/>
        <v>1.1687230760907323</v>
      </c>
      <c r="I61" s="12">
        <f t="shared" si="23"/>
        <v>2480.5</v>
      </c>
      <c r="J61" s="13">
        <f t="shared" si="14"/>
        <v>63672.055016583661</v>
      </c>
      <c r="K61" s="12">
        <f t="shared" si="15"/>
        <v>2175.6176399115989</v>
      </c>
      <c r="L61" s="8">
        <f t="shared" si="16"/>
        <v>59262.376134760525</v>
      </c>
      <c r="M61" s="14">
        <f t="shared" si="17"/>
        <v>5.8580204372350675E-2</v>
      </c>
      <c r="N61" s="14">
        <f t="shared" si="18"/>
        <v>0.02</v>
      </c>
      <c r="O61" s="15">
        <f t="shared" si="19"/>
        <v>63714.503053261382</v>
      </c>
      <c r="P61" s="8">
        <f t="shared" si="20"/>
        <v>42.448036677720665</v>
      </c>
      <c r="Q61" s="16">
        <f t="shared" si="21"/>
        <v>61761.893366086151</v>
      </c>
    </row>
    <row r="62" spans="2:17" ht="17.100000000000001" customHeight="1" x14ac:dyDescent="0.3">
      <c r="B62" s="7" t="s">
        <v>51</v>
      </c>
      <c r="C62" s="7" t="s">
        <v>33</v>
      </c>
      <c r="D62" s="8">
        <f>$C$11-2150</f>
        <v>62900</v>
      </c>
      <c r="E62" s="9">
        <v>82</v>
      </c>
      <c r="F62" s="10">
        <f t="shared" si="12"/>
        <v>6.0953895071542127E-2</v>
      </c>
      <c r="G62" s="11">
        <f t="shared" si="13"/>
        <v>127.8</v>
      </c>
      <c r="H62" s="10">
        <f t="shared" si="22"/>
        <v>1.2296769711622744</v>
      </c>
      <c r="I62" s="12">
        <f t="shared" si="23"/>
        <v>2608.3000000000002</v>
      </c>
      <c r="J62" s="13">
        <f t="shared" si="14"/>
        <v>63633.784998055286</v>
      </c>
      <c r="K62" s="12">
        <f t="shared" si="15"/>
        <v>1989.3814861070609</v>
      </c>
      <c r="L62" s="8">
        <f t="shared" si="16"/>
        <v>59458.357421473615</v>
      </c>
      <c r="M62" s="14">
        <f t="shared" si="17"/>
        <v>5.4716098227764472E-2</v>
      </c>
      <c r="N62" s="14">
        <f t="shared" si="18"/>
        <v>0.02</v>
      </c>
      <c r="O62" s="15">
        <f t="shared" si="19"/>
        <v>63676.207521387318</v>
      </c>
      <c r="P62" s="8">
        <f t="shared" si="20"/>
        <v>42.422523332032142</v>
      </c>
      <c r="Q62" s="16">
        <f t="shared" si="21"/>
        <v>61724.771448113628</v>
      </c>
    </row>
    <row r="63" spans="2:17" ht="17.100000000000001" customHeight="1" x14ac:dyDescent="0.3">
      <c r="B63" s="7" t="s">
        <v>51</v>
      </c>
      <c r="C63" s="7" t="s">
        <v>34</v>
      </c>
      <c r="D63" s="8">
        <f>$C$11-2200</f>
        <v>62850</v>
      </c>
      <c r="E63" s="9">
        <v>86</v>
      </c>
      <c r="F63" s="10">
        <f t="shared" si="12"/>
        <v>6.3961813842482104E-2</v>
      </c>
      <c r="G63" s="11">
        <f t="shared" si="13"/>
        <v>134</v>
      </c>
      <c r="H63" s="10">
        <f t="shared" si="22"/>
        <v>1.2936387850047564</v>
      </c>
      <c r="I63" s="12">
        <f t="shared" si="23"/>
        <v>2742.3</v>
      </c>
      <c r="J63" s="13">
        <f t="shared" si="14"/>
        <v>63595.032055024167</v>
      </c>
      <c r="K63" s="12">
        <f t="shared" si="15"/>
        <v>1793.8976375489399</v>
      </c>
      <c r="L63" s="8">
        <f t="shared" si="16"/>
        <v>59641.667182283076</v>
      </c>
      <c r="M63" s="14">
        <f t="shared" si="17"/>
        <v>5.1047459311327356E-2</v>
      </c>
      <c r="N63" s="14">
        <f t="shared" si="18"/>
        <v>0.02</v>
      </c>
      <c r="O63" s="15">
        <f t="shared" si="19"/>
        <v>63637.428743060846</v>
      </c>
      <c r="P63" s="8">
        <f t="shared" si="20"/>
        <v>42.396688036678825</v>
      </c>
      <c r="Q63" s="16">
        <f t="shared" si="21"/>
        <v>61687.181093373438</v>
      </c>
    </row>
    <row r="64" spans="2:17" ht="17.100000000000001" customHeight="1" x14ac:dyDescent="0.3">
      <c r="B64" s="7" t="s">
        <v>51</v>
      </c>
      <c r="C64" s="7" t="s">
        <v>35</v>
      </c>
      <c r="D64" s="8">
        <f>$C$11-2250</f>
        <v>62800</v>
      </c>
      <c r="E64" s="9">
        <v>90</v>
      </c>
      <c r="F64" s="10">
        <f t="shared" si="12"/>
        <v>6.6974522292993624E-2</v>
      </c>
      <c r="G64" s="11">
        <f t="shared" si="13"/>
        <v>140.19999999999999</v>
      </c>
      <c r="H64" s="10">
        <f t="shared" si="22"/>
        <v>1.36061330729775</v>
      </c>
      <c r="I64" s="12">
        <f t="shared" si="23"/>
        <v>2882.5</v>
      </c>
      <c r="J64" s="13">
        <f t="shared" si="14"/>
        <v>63555.897576618539</v>
      </c>
      <c r="K64" s="12">
        <f t="shared" si="15"/>
        <v>1589.0156982986946</v>
      </c>
      <c r="L64" s="8">
        <f t="shared" si="16"/>
        <v>59812.666178730433</v>
      </c>
      <c r="M64" s="14">
        <f t="shared" si="17"/>
        <v>4.7569009892827502E-2</v>
      </c>
      <c r="N64" s="14">
        <f t="shared" si="18"/>
        <v>0.02</v>
      </c>
      <c r="O64" s="15">
        <f t="shared" si="19"/>
        <v>63598.268175002944</v>
      </c>
      <c r="P64" s="8">
        <f t="shared" si="20"/>
        <v>42.37059838440473</v>
      </c>
      <c r="Q64" s="16">
        <f t="shared" si="21"/>
        <v>61649.220649319985</v>
      </c>
    </row>
    <row r="65" spans="2:17" ht="17.100000000000001" customHeight="1" x14ac:dyDescent="0.3">
      <c r="B65" s="7" t="s">
        <v>51</v>
      </c>
      <c r="C65" s="7" t="s">
        <v>36</v>
      </c>
      <c r="D65" s="8">
        <f>$C$11-2300</f>
        <v>62750</v>
      </c>
      <c r="E65" s="9">
        <v>94</v>
      </c>
      <c r="F65" s="10">
        <f t="shared" si="12"/>
        <v>7.0039840637450196E-2</v>
      </c>
      <c r="G65" s="11">
        <f t="shared" si="13"/>
        <v>146.5</v>
      </c>
      <c r="H65" s="10">
        <f t="shared" si="22"/>
        <v>1.4306531479352003</v>
      </c>
      <c r="I65" s="12">
        <f t="shared" si="23"/>
        <v>3029</v>
      </c>
      <c r="J65" s="13">
        <f t="shared" si="14"/>
        <v>63516.443612589632</v>
      </c>
      <c r="K65" s="12">
        <f t="shared" si="15"/>
        <v>1374.4850329338162</v>
      </c>
      <c r="L65" s="8">
        <f t="shared" si="16"/>
        <v>59971.905208963013</v>
      </c>
      <c r="M65" s="14">
        <f t="shared" si="17"/>
        <v>4.42724269487966E-2</v>
      </c>
      <c r="N65" s="14">
        <f t="shared" si="18"/>
        <v>0.02</v>
      </c>
      <c r="O65" s="15">
        <f t="shared" si="19"/>
        <v>63558.787908331353</v>
      </c>
      <c r="P65" s="8">
        <f t="shared" si="20"/>
        <v>42.344295741720998</v>
      </c>
      <c r="Q65" s="16">
        <f t="shared" si="21"/>
        <v>61610.95030421194</v>
      </c>
    </row>
    <row r="66" spans="2:17" ht="17.100000000000001" customHeight="1" x14ac:dyDescent="0.3">
      <c r="B66" s="7" t="s">
        <v>51</v>
      </c>
      <c r="C66" s="7" t="s">
        <v>37</v>
      </c>
      <c r="D66" s="8">
        <f>$C$11-2350</f>
        <v>62700</v>
      </c>
      <c r="E66" s="9">
        <v>98</v>
      </c>
      <c r="F66" s="10">
        <f t="shared" si="12"/>
        <v>7.3062200956937801E-2</v>
      </c>
      <c r="G66" s="11">
        <f t="shared" si="13"/>
        <v>152.69999999999999</v>
      </c>
      <c r="H66" s="10">
        <f t="shared" si="22"/>
        <v>1.503715348892138</v>
      </c>
      <c r="I66" s="12">
        <f t="shared" si="23"/>
        <v>3181.7</v>
      </c>
      <c r="J66" s="13">
        <f t="shared" si="14"/>
        <v>63476.774424310766</v>
      </c>
      <c r="K66" s="12">
        <f t="shared" si="15"/>
        <v>1150.2523755370466</v>
      </c>
      <c r="L66" s="8">
        <f t="shared" si="16"/>
        <v>60119.766112636476</v>
      </c>
      <c r="M66" s="14">
        <f t="shared" si="17"/>
        <v>4.1152055619832914E-2</v>
      </c>
      <c r="N66" s="14">
        <f t="shared" si="18"/>
        <v>0.02</v>
      </c>
      <c r="O66" s="15">
        <f t="shared" si="19"/>
        <v>63519.092273926966</v>
      </c>
      <c r="P66" s="8">
        <f t="shared" si="20"/>
        <v>42.317849616199965</v>
      </c>
      <c r="Q66" s="16">
        <f t="shared" si="21"/>
        <v>61572.471191581441</v>
      </c>
    </row>
    <row r="67" spans="2:17" ht="17.100000000000001" customHeight="1" x14ac:dyDescent="0.3">
      <c r="B67" s="7" t="s">
        <v>51</v>
      </c>
      <c r="C67" s="7" t="s">
        <v>38</v>
      </c>
      <c r="D67" s="8">
        <f>$C$11-2400</f>
        <v>62650</v>
      </c>
      <c r="E67" s="9">
        <v>102</v>
      </c>
      <c r="F67" s="10">
        <f t="shared" si="12"/>
        <v>7.6089385474860341E-2</v>
      </c>
      <c r="G67" s="11">
        <f t="shared" si="13"/>
        <v>158.9</v>
      </c>
      <c r="H67" s="10">
        <f t="shared" si="22"/>
        <v>1.5798047343669983</v>
      </c>
      <c r="I67" s="12">
        <f t="shared" si="23"/>
        <v>3340.6</v>
      </c>
      <c r="J67" s="13">
        <f t="shared" si="14"/>
        <v>63436.953833510124</v>
      </c>
      <c r="K67" s="12">
        <f t="shared" si="15"/>
        <v>916.16660809244718</v>
      </c>
      <c r="L67" s="8">
        <f t="shared" si="16"/>
        <v>60256.79489268583</v>
      </c>
      <c r="M67" s="14">
        <f t="shared" si="17"/>
        <v>3.8199602670617241E-2</v>
      </c>
      <c r="N67" s="14">
        <f t="shared" si="18"/>
        <v>0.02</v>
      </c>
      <c r="O67" s="15">
        <f t="shared" si="19"/>
        <v>63479.245136065794</v>
      </c>
      <c r="P67" s="8">
        <f t="shared" si="20"/>
        <v>42.291302555669972</v>
      </c>
      <c r="Q67" s="16">
        <f t="shared" si="21"/>
        <v>61533.845218504815</v>
      </c>
    </row>
    <row r="68" spans="2:17" ht="17.100000000000001" customHeight="1" x14ac:dyDescent="0.3">
      <c r="B68" s="7" t="s">
        <v>51</v>
      </c>
      <c r="C68" s="7" t="s">
        <v>39</v>
      </c>
      <c r="D68" s="8">
        <f>$C$11-2450</f>
        <v>62600</v>
      </c>
      <c r="E68" s="9">
        <v>106</v>
      </c>
      <c r="F68" s="10">
        <f t="shared" si="12"/>
        <v>7.9169329073482425E-2</v>
      </c>
      <c r="G68" s="11">
        <f t="shared" si="13"/>
        <v>165.2</v>
      </c>
      <c r="H68" s="10">
        <f t="shared" si="22"/>
        <v>1.6589740634404808</v>
      </c>
      <c r="I68" s="12">
        <f t="shared" si="23"/>
        <v>3505.7999999999997</v>
      </c>
      <c r="J68" s="13">
        <f t="shared" si="14"/>
        <v>63397.01283929887</v>
      </c>
      <c r="K68" s="12">
        <f t="shared" si="15"/>
        <v>671.97637137411903</v>
      </c>
      <c r="L68" s="8">
        <f t="shared" si="16"/>
        <v>60383.629002680464</v>
      </c>
      <c r="M68" s="14">
        <f t="shared" si="17"/>
        <v>3.5405287497117195E-2</v>
      </c>
      <c r="N68" s="14">
        <f t="shared" si="18"/>
        <v>0.02</v>
      </c>
      <c r="O68" s="15">
        <f t="shared" si="19"/>
        <v>63439.277514525063</v>
      </c>
      <c r="P68" s="8">
        <f t="shared" si="20"/>
        <v>42.264675226193503</v>
      </c>
      <c r="Q68" s="16">
        <f t="shared" si="21"/>
        <v>61495.1024541199</v>
      </c>
    </row>
    <row r="69" spans="2:17" ht="17.100000000000001" customHeight="1" x14ac:dyDescent="0.3">
      <c r="B69" s="7" t="s">
        <v>51</v>
      </c>
      <c r="C69" s="7" t="s">
        <v>40</v>
      </c>
      <c r="D69" s="8">
        <f>$C$11-2500</f>
        <v>62550</v>
      </c>
      <c r="E69" s="9">
        <v>110</v>
      </c>
      <c r="F69" s="10">
        <f t="shared" si="12"/>
        <v>8.2206235011990411E-2</v>
      </c>
      <c r="G69" s="11">
        <f t="shared" si="13"/>
        <v>171.4</v>
      </c>
      <c r="H69" s="10">
        <f t="shared" si="22"/>
        <v>1.7411802984524711</v>
      </c>
      <c r="I69" s="12">
        <f t="shared" si="23"/>
        <v>3677.2</v>
      </c>
      <c r="J69" s="13">
        <f t="shared" si="14"/>
        <v>63357.02287583131</v>
      </c>
      <c r="K69" s="12">
        <f t="shared" si="15"/>
        <v>417.62766820206889</v>
      </c>
      <c r="L69" s="8">
        <f t="shared" si="16"/>
        <v>60500.749785341504</v>
      </c>
      <c r="M69" s="14">
        <f t="shared" si="17"/>
        <v>3.2761793999336465E-2</v>
      </c>
      <c r="N69" s="14">
        <f t="shared" si="18"/>
        <v>0.02</v>
      </c>
      <c r="O69" s="15">
        <f t="shared" si="19"/>
        <v>63399.26089108186</v>
      </c>
      <c r="P69" s="8">
        <f t="shared" si="20"/>
        <v>42.238015250550234</v>
      </c>
      <c r="Q69" s="16">
        <f t="shared" si="21"/>
        <v>61456.312189556367</v>
      </c>
    </row>
    <row r="70" spans="2:17" ht="17.100000000000001" customHeight="1" x14ac:dyDescent="0.3">
      <c r="B70" s="7" t="s">
        <v>51</v>
      </c>
      <c r="C70" s="7" t="s">
        <v>41</v>
      </c>
      <c r="D70" s="8">
        <f>$C$11-2550</f>
        <v>62500</v>
      </c>
      <c r="E70" s="9">
        <v>114</v>
      </c>
      <c r="F70" s="10">
        <f t="shared" si="12"/>
        <v>8.5248000000000004E-2</v>
      </c>
      <c r="G70" s="11">
        <f t="shared" si="13"/>
        <v>177.6</v>
      </c>
      <c r="H70" s="10">
        <f t="shared" si="22"/>
        <v>1.8264282984524711</v>
      </c>
      <c r="I70" s="12">
        <f t="shared" si="23"/>
        <v>3854.7999999999997</v>
      </c>
      <c r="J70" s="13">
        <f t="shared" si="14"/>
        <v>63317.021586878007</v>
      </c>
      <c r="K70" s="12">
        <f t="shared" si="15"/>
        <v>152.96865327946421</v>
      </c>
      <c r="L70" s="8">
        <f t="shared" si="16"/>
        <v>60608.723337773328</v>
      </c>
      <c r="M70" s="14">
        <f t="shared" si="17"/>
        <v>3.0260426595626749E-2</v>
      </c>
      <c r="N70" s="14">
        <f t="shared" si="18"/>
        <v>0.02</v>
      </c>
      <c r="O70" s="15">
        <f t="shared" si="19"/>
        <v>63359.232934602587</v>
      </c>
      <c r="P70" s="8">
        <f t="shared" si="20"/>
        <v>42.211347724580264</v>
      </c>
      <c r="Q70" s="16">
        <f t="shared" si="21"/>
        <v>61417.510939271662</v>
      </c>
    </row>
    <row r="71" spans="2:17" ht="17.100000000000001" customHeight="1" x14ac:dyDescent="0.3">
      <c r="B71" s="7" t="s">
        <v>51</v>
      </c>
      <c r="C71" s="7" t="s">
        <v>42</v>
      </c>
      <c r="D71" s="8">
        <f>$C$11-2600</f>
        <v>62450</v>
      </c>
      <c r="E71" s="9">
        <v>118</v>
      </c>
      <c r="F71" s="10">
        <f t="shared" si="12"/>
        <v>8.8342674139311447E-2</v>
      </c>
      <c r="G71" s="11">
        <f t="shared" si="13"/>
        <v>183.9</v>
      </c>
      <c r="H71" s="10">
        <f t="shared" si="22"/>
        <v>1.9147709725917825</v>
      </c>
      <c r="I71" s="12">
        <f t="shared" si="23"/>
        <v>4038.7</v>
      </c>
      <c r="J71" s="13">
        <f t="shared" si="14"/>
        <v>63277.019410838322</v>
      </c>
      <c r="K71" s="12">
        <f t="shared" si="15"/>
        <v>-122.25276164317665</v>
      </c>
      <c r="L71" s="8">
        <f t="shared" si="16"/>
        <v>60708.153987698097</v>
      </c>
      <c r="M71" s="14">
        <f t="shared" si="17"/>
        <v>2.7891849676571708E-2</v>
      </c>
      <c r="N71" s="14">
        <f t="shared" si="18"/>
        <v>0.02</v>
      </c>
      <c r="O71" s="15">
        <f t="shared" si="19"/>
        <v>63319.204090445543</v>
      </c>
      <c r="P71" s="8">
        <f t="shared" si="20"/>
        <v>42.18467960722046</v>
      </c>
      <c r="Q71" s="16">
        <f t="shared" si="21"/>
        <v>61378.708828513169</v>
      </c>
    </row>
    <row r="72" spans="2:17" ht="17.100000000000001" customHeight="1" x14ac:dyDescent="0.3">
      <c r="B72" s="7" t="s">
        <v>51</v>
      </c>
      <c r="C72" s="7" t="s">
        <v>43</v>
      </c>
      <c r="D72" s="8">
        <f>$C$11-2650</f>
        <v>62400</v>
      </c>
      <c r="E72" s="9">
        <v>122</v>
      </c>
      <c r="F72" s="10">
        <f t="shared" si="12"/>
        <v>9.1394230769230769E-2</v>
      </c>
      <c r="G72" s="11">
        <f t="shared" si="13"/>
        <v>190.1</v>
      </c>
      <c r="H72" s="10">
        <f t="shared" si="22"/>
        <v>2.0061652033610131</v>
      </c>
      <c r="I72" s="12">
        <f t="shared" si="23"/>
        <v>4228.8</v>
      </c>
      <c r="J72" s="13">
        <f t="shared" si="14"/>
        <v>63237.065316186025</v>
      </c>
      <c r="K72" s="12">
        <f t="shared" si="15"/>
        <v>-408.09131027278681</v>
      </c>
      <c r="L72" s="8">
        <f t="shared" si="16"/>
        <v>60799.513989369225</v>
      </c>
      <c r="M72" s="14">
        <f t="shared" si="17"/>
        <v>2.5648814272929088E-2</v>
      </c>
      <c r="N72" s="14">
        <f t="shared" si="18"/>
        <v>0.02</v>
      </c>
      <c r="O72" s="15">
        <f t="shared" si="19"/>
        <v>63279.223359730146</v>
      </c>
      <c r="P72" s="8">
        <f t="shared" si="20"/>
        <v>42.158043544121028</v>
      </c>
      <c r="Q72" s="16">
        <f t="shared" si="21"/>
        <v>61339.95335670044</v>
      </c>
    </row>
    <row r="73" spans="2:17" ht="17.100000000000001" customHeight="1" x14ac:dyDescent="0.3">
      <c r="B73" s="7" t="s">
        <v>51</v>
      </c>
      <c r="C73" s="7" t="s">
        <v>44</v>
      </c>
      <c r="D73" s="8">
        <f>$C$11-2700</f>
        <v>62350</v>
      </c>
      <c r="E73" s="9">
        <v>126</v>
      </c>
      <c r="F73" s="10">
        <f t="shared" si="12"/>
        <v>9.4450681635926223E-2</v>
      </c>
      <c r="G73" s="11">
        <f t="shared" si="13"/>
        <v>196.3</v>
      </c>
      <c r="H73" s="10">
        <f t="shared" si="22"/>
        <v>2.1006158849969392</v>
      </c>
      <c r="I73" s="12">
        <f t="shared" si="23"/>
        <v>4425.1000000000004</v>
      </c>
      <c r="J73" s="13">
        <f t="shared" si="14"/>
        <v>63197.179907164907</v>
      </c>
      <c r="K73" s="12">
        <f t="shared" si="15"/>
        <v>-704.69957044083731</v>
      </c>
      <c r="L73" s="8">
        <f t="shared" si="16"/>
        <v>60883.316757239576</v>
      </c>
      <c r="M73" s="14">
        <f t="shared" si="17"/>
        <v>2.3523388015403754E-2</v>
      </c>
      <c r="N73" s="14">
        <f t="shared" si="18"/>
        <v>0.02</v>
      </c>
      <c r="O73" s="15">
        <f t="shared" si="19"/>
        <v>63239.311360436346</v>
      </c>
      <c r="P73" s="8">
        <f t="shared" si="20"/>
        <v>42.131453271438659</v>
      </c>
      <c r="Q73" s="16">
        <f t="shared" si="21"/>
        <v>61301.264509949957</v>
      </c>
    </row>
    <row r="74" spans="2:17" ht="17.100000000000001" customHeight="1" x14ac:dyDescent="0.3">
      <c r="B74" s="7" t="s">
        <v>51</v>
      </c>
      <c r="C74" s="7" t="s">
        <v>45</v>
      </c>
      <c r="D74" s="8">
        <f>$C$11-2750</f>
        <v>62300</v>
      </c>
      <c r="E74" s="9">
        <v>130</v>
      </c>
      <c r="F74" s="10">
        <f t="shared" si="12"/>
        <v>9.7512038523274475E-2</v>
      </c>
      <c r="G74" s="11">
        <f t="shared" si="13"/>
        <v>202.5</v>
      </c>
      <c r="H74" s="10">
        <f t="shared" si="22"/>
        <v>2.1981279235202136</v>
      </c>
      <c r="I74" s="12">
        <f t="shared" si="23"/>
        <v>4627.6000000000004</v>
      </c>
      <c r="J74" s="13">
        <f t="shared" si="14"/>
        <v>63157.379747795814</v>
      </c>
      <c r="K74" s="12">
        <f t="shared" si="15"/>
        <v>-1012.2303646906978</v>
      </c>
      <c r="L74" s="8">
        <f t="shared" si="16"/>
        <v>60960.050830506872</v>
      </c>
      <c r="M74" s="14">
        <f t="shared" si="17"/>
        <v>2.1508012351414568E-2</v>
      </c>
      <c r="N74" s="14">
        <f t="shared" si="18"/>
        <v>0.02</v>
      </c>
      <c r="O74" s="15">
        <f t="shared" si="19"/>
        <v>63199.484667627672</v>
      </c>
      <c r="P74" s="8">
        <f t="shared" si="20"/>
        <v>42.104919831857842</v>
      </c>
      <c r="Q74" s="16">
        <f t="shared" si="21"/>
        <v>61262.658355361935</v>
      </c>
    </row>
    <row r="75" spans="2:17" ht="17.100000000000001" customHeight="1" x14ac:dyDescent="0.3">
      <c r="B75" s="7" t="s">
        <v>51</v>
      </c>
      <c r="C75" s="7" t="s">
        <v>46</v>
      </c>
      <c r="D75" s="8">
        <f>$C$11-2800</f>
        <v>62250</v>
      </c>
      <c r="E75" s="9">
        <v>134</v>
      </c>
      <c r="F75" s="10">
        <f t="shared" si="12"/>
        <v>0.10062650602409638</v>
      </c>
      <c r="G75" s="11">
        <f t="shared" si="13"/>
        <v>208.8</v>
      </c>
      <c r="H75" s="10">
        <f t="shared" si="22"/>
        <v>2.2987544295443101</v>
      </c>
      <c r="I75" s="12">
        <f t="shared" si="23"/>
        <v>4836.4000000000005</v>
      </c>
      <c r="J75" s="13">
        <f t="shared" si="14"/>
        <v>63117.659779240581</v>
      </c>
      <c r="K75" s="12">
        <f t="shared" si="15"/>
        <v>-1330.9367608667242</v>
      </c>
      <c r="L75" s="8">
        <f t="shared" si="16"/>
        <v>61030.210767008415</v>
      </c>
      <c r="M75" s="14">
        <f t="shared" si="17"/>
        <v>1.9595007758900961E-2</v>
      </c>
      <c r="N75" s="14">
        <f t="shared" si="18"/>
        <v>0.02</v>
      </c>
      <c r="O75" s="15">
        <f t="shared" si="19"/>
        <v>63159.7382190934</v>
      </c>
      <c r="P75" s="8">
        <f t="shared" si="20"/>
        <v>42.078439852819429</v>
      </c>
      <c r="Q75" s="16">
        <f t="shared" si="21"/>
        <v>61224.129985863365</v>
      </c>
    </row>
    <row r="76" spans="2:17" ht="17.100000000000001" customHeight="1" x14ac:dyDescent="0.3">
      <c r="B76" s="7" t="s">
        <v>51</v>
      </c>
      <c r="C76" s="7" t="s">
        <v>47</v>
      </c>
      <c r="D76" s="8">
        <f>$C$11-2850</f>
        <v>62200</v>
      </c>
      <c r="E76" s="9">
        <v>138</v>
      </c>
      <c r="F76" s="10">
        <f t="shared" si="12"/>
        <v>0.10369774919614148</v>
      </c>
      <c r="G76" s="11">
        <f t="shared" si="13"/>
        <v>215</v>
      </c>
      <c r="H76" s="10">
        <f t="shared" si="22"/>
        <v>2.4024521787404516</v>
      </c>
      <c r="I76" s="12">
        <f t="shared" si="23"/>
        <v>5051.4000000000005</v>
      </c>
      <c r="J76" s="13">
        <f t="shared" si="14"/>
        <v>63078.050560594253</v>
      </c>
      <c r="K76" s="12">
        <f t="shared" si="15"/>
        <v>-1660.8744823439374</v>
      </c>
      <c r="L76" s="8">
        <f t="shared" si="16"/>
        <v>61094.193963909012</v>
      </c>
      <c r="M76" s="14">
        <f t="shared" si="17"/>
        <v>1.7778232091494976E-2</v>
      </c>
      <c r="N76" s="14">
        <f t="shared" si="18"/>
        <v>0.02</v>
      </c>
      <c r="O76" s="15">
        <f t="shared" si="19"/>
        <v>63120.102594301308</v>
      </c>
      <c r="P76" s="8">
        <f t="shared" si="20"/>
        <v>42.052033707055671</v>
      </c>
      <c r="Q76" s="16">
        <f t="shared" si="21"/>
        <v>61185.70904377642</v>
      </c>
    </row>
    <row r="77" spans="2:17" ht="17.100000000000001" customHeight="1" x14ac:dyDescent="0.3">
      <c r="B77" s="7" t="s">
        <v>51</v>
      </c>
      <c r="C77" s="7" t="s">
        <v>48</v>
      </c>
      <c r="D77" s="8">
        <f>$C$11-2900</f>
        <v>62150</v>
      </c>
      <c r="E77" s="9">
        <v>142</v>
      </c>
      <c r="F77" s="10">
        <f t="shared" si="12"/>
        <v>0.1067739340305712</v>
      </c>
      <c r="G77" s="11">
        <f t="shared" si="13"/>
        <v>221.2</v>
      </c>
      <c r="H77" s="10">
        <f t="shared" si="22"/>
        <v>2.5092261127710227</v>
      </c>
      <c r="I77" s="12">
        <f t="shared" si="23"/>
        <v>5272.6</v>
      </c>
      <c r="J77" s="13">
        <f t="shared" si="14"/>
        <v>63038.559655876816</v>
      </c>
      <c r="K77" s="12">
        <f t="shared" si="15"/>
        <v>-2002.1970912809402</v>
      </c>
      <c r="L77" s="8">
        <f t="shared" si="16"/>
        <v>61152.410836821138</v>
      </c>
      <c r="M77" s="14">
        <f t="shared" si="17"/>
        <v>1.6051313969088685E-2</v>
      </c>
      <c r="N77" s="14">
        <f t="shared" si="18"/>
        <v>0.02</v>
      </c>
      <c r="O77" s="15">
        <f t="shared" si="19"/>
        <v>63080.585362314065</v>
      </c>
      <c r="P77" s="8">
        <f t="shared" si="20"/>
        <v>42.025706437249028</v>
      </c>
      <c r="Q77" s="16">
        <f t="shared" si="21"/>
        <v>61147.402866200508</v>
      </c>
    </row>
    <row r="78" spans="2:17" ht="17.100000000000001" customHeight="1" x14ac:dyDescent="0.3">
      <c r="B78" s="7" t="s">
        <v>51</v>
      </c>
      <c r="C78" s="7" t="s">
        <v>49</v>
      </c>
      <c r="D78" s="8">
        <f>$C$11-2950</f>
        <v>62100</v>
      </c>
      <c r="E78" s="9">
        <v>146</v>
      </c>
      <c r="F78" s="10">
        <f t="shared" si="12"/>
        <v>0.10990338164251208</v>
      </c>
      <c r="G78" s="11">
        <f t="shared" si="13"/>
        <v>227.5</v>
      </c>
      <c r="H78" s="10">
        <f t="shared" si="22"/>
        <v>2.6191294944135346</v>
      </c>
      <c r="I78" s="12">
        <f t="shared" si="23"/>
        <v>5500.1</v>
      </c>
      <c r="J78" s="13">
        <f t="shared" si="14"/>
        <v>62999.176005593734</v>
      </c>
      <c r="K78" s="12">
        <f t="shared" si="15"/>
        <v>-2355.158396919498</v>
      </c>
      <c r="L78" s="8">
        <f t="shared" si="16"/>
        <v>61205.267992661858</v>
      </c>
      <c r="M78" s="14">
        <f t="shared" si="17"/>
        <v>1.4407922823480541E-2</v>
      </c>
      <c r="N78" s="14">
        <f t="shared" si="18"/>
        <v>0.02</v>
      </c>
      <c r="O78" s="15">
        <f t="shared" si="19"/>
        <v>63041.175456264122</v>
      </c>
      <c r="P78" s="8">
        <f t="shared" si="20"/>
        <v>41.999450670387887</v>
      </c>
      <c r="Q78" s="16">
        <f t="shared" si="21"/>
        <v>61109.200725425922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78"/>
  <sheetViews>
    <sheetView workbookViewId="0">
      <selection activeCell="D13" sqref="D13"/>
    </sheetView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52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8</v>
      </c>
      <c r="C11" s="2">
        <v>65000</v>
      </c>
    </row>
    <row r="12" spans="2:17" ht="18" customHeight="1" x14ac:dyDescent="0.3">
      <c r="B12" s="1" t="s">
        <v>9</v>
      </c>
      <c r="C12" s="2">
        <v>2900</v>
      </c>
    </row>
    <row r="13" spans="2:17" ht="18" customHeight="1" x14ac:dyDescent="0.3">
      <c r="B13" s="1" t="s">
        <v>10</v>
      </c>
      <c r="C13" s="3">
        <v>30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53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8">
        <f>$C$11+0</f>
        <v>65000</v>
      </c>
      <c r="E19" s="9">
        <v>10</v>
      </c>
      <c r="F19" s="10">
        <f t="shared" ref="F19:F50" si="0">(G19*$C$13)/D19</f>
        <v>3.7846153846153841E-3</v>
      </c>
      <c r="G19" s="11">
        <f t="shared" ref="G19:G50" si="1">ROUND($C$12*E19/SUM($E$19:$E$78), 1)</f>
        <v>8.1999999999999993</v>
      </c>
      <c r="H19" s="10">
        <f>F19</f>
        <v>3.7846153846153841E-3</v>
      </c>
      <c r="I19" s="12">
        <f>G19</f>
        <v>8.1999999999999993</v>
      </c>
      <c r="J19" s="13">
        <f t="shared" ref="J19:J50" si="2">I19*$C$13/H19</f>
        <v>65000</v>
      </c>
      <c r="K19" s="12">
        <f t="shared" ref="K19:K50" si="3">$C$12-I19+H19*(J19-D19)</f>
        <v>2891.8</v>
      </c>
      <c r="L19" s="8">
        <f t="shared" ref="L19:L50" si="4">(J19*H19+$C$12)/(H19*(1+$C$14))</f>
        <v>827124.53990211559</v>
      </c>
      <c r="M19" s="14">
        <f t="shared" ref="M19:M50" si="5">(L19-D19)/D19</f>
        <v>11.724992921571008</v>
      </c>
      <c r="N19" s="14">
        <f t="shared" ref="N19:N50" si="6">IF(B19="1차",0.1,IF(B19="2차",0.05,0.02))</f>
        <v>0.1</v>
      </c>
      <c r="O19" s="15">
        <f t="shared" ref="O19:O50" si="7">J19*(1-N19/$C$13)</f>
        <v>64783.333333333336</v>
      </c>
      <c r="P19" s="8">
        <f t="shared" ref="P19:P50" si="8">J19-O19</f>
        <v>216.66666666666424</v>
      </c>
      <c r="Q19" s="16">
        <f t="shared" ref="Q19:Q50" si="9">J19*(1+$C$15)</f>
        <v>66950</v>
      </c>
    </row>
    <row r="20" spans="2:17" ht="17.100000000000001" customHeight="1" x14ac:dyDescent="0.3">
      <c r="B20" s="7" t="s">
        <v>29</v>
      </c>
      <c r="C20" s="7" t="s">
        <v>31</v>
      </c>
      <c r="D20" s="8">
        <f>$C$11+50</f>
        <v>65050</v>
      </c>
      <c r="E20" s="9">
        <v>11</v>
      </c>
      <c r="F20" s="10">
        <f t="shared" si="0"/>
        <v>4.1506533435818598E-3</v>
      </c>
      <c r="G20" s="11">
        <f t="shared" si="1"/>
        <v>9</v>
      </c>
      <c r="H20" s="10">
        <f t="shared" ref="H20:H51" si="10">H19+F20</f>
        <v>7.9352687281972444E-3</v>
      </c>
      <c r="I20" s="12">
        <f t="shared" ref="I20:I51" si="11">I19+G20</f>
        <v>17.2</v>
      </c>
      <c r="J20" s="13">
        <f t="shared" si="2"/>
        <v>65026.153199631626</v>
      </c>
      <c r="K20" s="12">
        <f t="shared" si="3"/>
        <v>2882.6107692307696</v>
      </c>
      <c r="L20" s="8">
        <f t="shared" si="4"/>
        <v>428341.50821462768</v>
      </c>
      <c r="M20" s="14">
        <f t="shared" si="5"/>
        <v>5.5848041232071894</v>
      </c>
      <c r="N20" s="14">
        <f t="shared" si="6"/>
        <v>0.1</v>
      </c>
      <c r="O20" s="15">
        <f t="shared" si="7"/>
        <v>64809.399355632857</v>
      </c>
      <c r="P20" s="8">
        <f t="shared" si="8"/>
        <v>216.7538439987693</v>
      </c>
      <c r="Q20" s="16">
        <f t="shared" si="9"/>
        <v>66976.937795620572</v>
      </c>
    </row>
    <row r="21" spans="2:17" ht="17.100000000000001" customHeight="1" x14ac:dyDescent="0.3">
      <c r="B21" s="7" t="s">
        <v>29</v>
      </c>
      <c r="C21" s="7" t="s">
        <v>32</v>
      </c>
      <c r="D21" s="8">
        <f>$C$11+100</f>
        <v>65100</v>
      </c>
      <c r="E21" s="9">
        <v>12</v>
      </c>
      <c r="F21" s="10">
        <f t="shared" si="0"/>
        <v>4.5622119815668201E-3</v>
      </c>
      <c r="G21" s="11">
        <f t="shared" si="1"/>
        <v>9.9</v>
      </c>
      <c r="H21" s="10">
        <f t="shared" si="10"/>
        <v>1.2497480709764065E-2</v>
      </c>
      <c r="I21" s="12">
        <f t="shared" si="11"/>
        <v>27.1</v>
      </c>
      <c r="J21" s="13">
        <f t="shared" si="2"/>
        <v>65053.111013391455</v>
      </c>
      <c r="K21" s="12">
        <f t="shared" si="3"/>
        <v>2872.3140057943592</v>
      </c>
      <c r="L21" s="8">
        <f t="shared" si="4"/>
        <v>295621.76961774461</v>
      </c>
      <c r="M21" s="14">
        <f t="shared" si="5"/>
        <v>3.5410410079530661</v>
      </c>
      <c r="N21" s="14">
        <f t="shared" si="6"/>
        <v>0.1</v>
      </c>
      <c r="O21" s="15">
        <f t="shared" si="7"/>
        <v>64836.267310013485</v>
      </c>
      <c r="P21" s="8">
        <f t="shared" si="8"/>
        <v>216.84370337797009</v>
      </c>
      <c r="Q21" s="16">
        <f t="shared" si="9"/>
        <v>67004.704343793201</v>
      </c>
    </row>
    <row r="22" spans="2:17" ht="17.100000000000001" customHeight="1" x14ac:dyDescent="0.3">
      <c r="B22" s="7" t="s">
        <v>29</v>
      </c>
      <c r="C22" s="7" t="s">
        <v>33</v>
      </c>
      <c r="D22" s="8">
        <f>$C$11+150</f>
        <v>65150</v>
      </c>
      <c r="E22" s="9">
        <v>13</v>
      </c>
      <c r="F22" s="10">
        <f t="shared" si="0"/>
        <v>4.9270913277052958E-3</v>
      </c>
      <c r="G22" s="11">
        <f t="shared" si="1"/>
        <v>10.7</v>
      </c>
      <c r="H22" s="10">
        <f t="shared" si="10"/>
        <v>1.742457203746936E-2</v>
      </c>
      <c r="I22" s="12">
        <f t="shared" si="11"/>
        <v>37.799999999999997</v>
      </c>
      <c r="J22" s="13">
        <f t="shared" si="2"/>
        <v>65080.508006823642</v>
      </c>
      <c r="K22" s="12">
        <f t="shared" si="3"/>
        <v>2860.9891317588708</v>
      </c>
      <c r="L22" s="8">
        <f t="shared" si="4"/>
        <v>230360.34053675766</v>
      </c>
      <c r="M22" s="14">
        <f t="shared" si="5"/>
        <v>2.5358455953454744</v>
      </c>
      <c r="N22" s="14">
        <f t="shared" si="6"/>
        <v>0.1</v>
      </c>
      <c r="O22" s="15">
        <f t="shared" si="7"/>
        <v>64863.572980134231</v>
      </c>
      <c r="P22" s="8">
        <f t="shared" si="8"/>
        <v>216.93502668941073</v>
      </c>
      <c r="Q22" s="16">
        <f t="shared" si="9"/>
        <v>67032.923247028346</v>
      </c>
    </row>
    <row r="23" spans="2:17" ht="17.100000000000001" customHeight="1" x14ac:dyDescent="0.3">
      <c r="B23" s="7" t="s">
        <v>29</v>
      </c>
      <c r="C23" s="7" t="s">
        <v>34</v>
      </c>
      <c r="D23" s="8">
        <f>$C$11+200</f>
        <v>65200</v>
      </c>
      <c r="E23" s="9">
        <v>14</v>
      </c>
      <c r="F23" s="10">
        <f t="shared" si="0"/>
        <v>5.2914110429447851E-3</v>
      </c>
      <c r="G23" s="11">
        <f t="shared" si="1"/>
        <v>11.5</v>
      </c>
      <c r="H23" s="10">
        <f t="shared" si="10"/>
        <v>2.2715983080414146E-2</v>
      </c>
      <c r="I23" s="12">
        <f t="shared" si="11"/>
        <v>49.3</v>
      </c>
      <c r="J23" s="13">
        <f t="shared" si="2"/>
        <v>65108.342208407543</v>
      </c>
      <c r="K23" s="12">
        <f t="shared" si="3"/>
        <v>2848.6179031569973</v>
      </c>
      <c r="L23" s="8">
        <f t="shared" si="4"/>
        <v>191812.69482917842</v>
      </c>
      <c r="M23" s="14">
        <f t="shared" si="5"/>
        <v>1.9419124973800372</v>
      </c>
      <c r="N23" s="14">
        <f t="shared" si="6"/>
        <v>0.1</v>
      </c>
      <c r="O23" s="15">
        <f t="shared" si="7"/>
        <v>64891.314401046184</v>
      </c>
      <c r="P23" s="8">
        <f t="shared" si="8"/>
        <v>217.02780736135901</v>
      </c>
      <c r="Q23" s="16">
        <f t="shared" si="9"/>
        <v>67061.592474659774</v>
      </c>
    </row>
    <row r="24" spans="2:17" ht="17.100000000000001" customHeight="1" x14ac:dyDescent="0.3">
      <c r="B24" s="7" t="s">
        <v>29</v>
      </c>
      <c r="C24" s="7" t="s">
        <v>35</v>
      </c>
      <c r="D24" s="8">
        <f>$C$11+250</f>
        <v>65250</v>
      </c>
      <c r="E24" s="9">
        <v>15</v>
      </c>
      <c r="F24" s="10">
        <f t="shared" si="0"/>
        <v>5.6551724137931031E-3</v>
      </c>
      <c r="G24" s="11">
        <f t="shared" si="1"/>
        <v>12.3</v>
      </c>
      <c r="H24" s="10">
        <f t="shared" si="10"/>
        <v>2.837115549420725E-2</v>
      </c>
      <c r="I24" s="12">
        <f t="shared" si="11"/>
        <v>61.599999999999994</v>
      </c>
      <c r="J24" s="13">
        <f t="shared" si="2"/>
        <v>65136.578606300318</v>
      </c>
      <c r="K24" s="12">
        <f t="shared" si="3"/>
        <v>2835.1821040029768</v>
      </c>
      <c r="L24" s="8">
        <f t="shared" si="4"/>
        <v>166520.46866463893</v>
      </c>
      <c r="M24" s="14">
        <f t="shared" si="5"/>
        <v>1.5520378339408265</v>
      </c>
      <c r="N24" s="14">
        <f t="shared" si="6"/>
        <v>0.1</v>
      </c>
      <c r="O24" s="15">
        <f t="shared" si="7"/>
        <v>64919.456677612652</v>
      </c>
      <c r="P24" s="8">
        <f t="shared" si="8"/>
        <v>217.12192868766579</v>
      </c>
      <c r="Q24" s="16">
        <f t="shared" si="9"/>
        <v>67090.675964489332</v>
      </c>
    </row>
    <row r="25" spans="2:17" ht="17.100000000000001" customHeight="1" x14ac:dyDescent="0.3">
      <c r="B25" s="7" t="s">
        <v>29</v>
      </c>
      <c r="C25" s="7" t="s">
        <v>36</v>
      </c>
      <c r="D25" s="8">
        <f>$C$11+300</f>
        <v>65300</v>
      </c>
      <c r="E25" s="9">
        <v>16</v>
      </c>
      <c r="F25" s="10">
        <f t="shared" si="0"/>
        <v>6.0183767228177637E-3</v>
      </c>
      <c r="G25" s="11">
        <f t="shared" si="1"/>
        <v>13.1</v>
      </c>
      <c r="H25" s="10">
        <f t="shared" si="10"/>
        <v>3.4389532217025016E-2</v>
      </c>
      <c r="I25" s="12">
        <f t="shared" si="11"/>
        <v>74.699999999999989</v>
      </c>
      <c r="J25" s="13">
        <f t="shared" si="2"/>
        <v>65165.178341407081</v>
      </c>
      <c r="K25" s="12">
        <f t="shared" si="3"/>
        <v>2820.6635462282661</v>
      </c>
      <c r="L25" s="8">
        <f t="shared" si="4"/>
        <v>148749.41750558847</v>
      </c>
      <c r="M25" s="14">
        <f t="shared" si="5"/>
        <v>1.27793901233673</v>
      </c>
      <c r="N25" s="14">
        <f t="shared" si="6"/>
        <v>0.1</v>
      </c>
      <c r="O25" s="15">
        <f t="shared" si="7"/>
        <v>64947.961080269059</v>
      </c>
      <c r="P25" s="8">
        <f t="shared" si="8"/>
        <v>217.21726113802288</v>
      </c>
      <c r="Q25" s="16">
        <f t="shared" si="9"/>
        <v>67120.133691649302</v>
      </c>
    </row>
    <row r="26" spans="2:17" ht="17.100000000000001" customHeight="1" x14ac:dyDescent="0.3">
      <c r="B26" s="7" t="s">
        <v>29</v>
      </c>
      <c r="C26" s="7" t="s">
        <v>37</v>
      </c>
      <c r="D26" s="8">
        <f>$C$11+350</f>
        <v>65350</v>
      </c>
      <c r="E26" s="9">
        <v>17</v>
      </c>
      <c r="F26" s="10">
        <f t="shared" si="0"/>
        <v>6.4269319051262434E-3</v>
      </c>
      <c r="G26" s="11">
        <f t="shared" si="1"/>
        <v>14</v>
      </c>
      <c r="H26" s="10">
        <f t="shared" si="10"/>
        <v>4.0816464122151258E-2</v>
      </c>
      <c r="I26" s="12">
        <f t="shared" si="11"/>
        <v>88.699999999999989</v>
      </c>
      <c r="J26" s="13">
        <f t="shared" si="2"/>
        <v>65194.280230556869</v>
      </c>
      <c r="K26" s="12">
        <f t="shared" si="3"/>
        <v>2804.9440696174152</v>
      </c>
      <c r="L26" s="8">
        <f t="shared" si="4"/>
        <v>135566.2096739627</v>
      </c>
      <c r="M26" s="14">
        <f t="shared" si="5"/>
        <v>1.0744638052633926</v>
      </c>
      <c r="N26" s="14">
        <f t="shared" si="6"/>
        <v>0.1</v>
      </c>
      <c r="O26" s="15">
        <f t="shared" si="7"/>
        <v>64976.965963121685</v>
      </c>
      <c r="P26" s="8">
        <f t="shared" si="8"/>
        <v>217.31426743518387</v>
      </c>
      <c r="Q26" s="16">
        <f t="shared" si="9"/>
        <v>67150.108637473575</v>
      </c>
    </row>
    <row r="27" spans="2:17" ht="17.100000000000001" customHeight="1" x14ac:dyDescent="0.3">
      <c r="B27" s="7" t="s">
        <v>29</v>
      </c>
      <c r="C27" s="7" t="s">
        <v>38</v>
      </c>
      <c r="D27" s="8">
        <f>$C$11+400</f>
        <v>65400</v>
      </c>
      <c r="E27" s="9">
        <v>18</v>
      </c>
      <c r="F27" s="10">
        <f t="shared" si="0"/>
        <v>6.7889908256880734E-3</v>
      </c>
      <c r="G27" s="11">
        <f t="shared" si="1"/>
        <v>14.8</v>
      </c>
      <c r="H27" s="10">
        <f t="shared" si="10"/>
        <v>4.7605454947839333E-2</v>
      </c>
      <c r="I27" s="12">
        <f t="shared" si="11"/>
        <v>103.49999999999999</v>
      </c>
      <c r="J27" s="13">
        <f t="shared" si="2"/>
        <v>65223.617827034883</v>
      </c>
      <c r="K27" s="12">
        <f t="shared" si="3"/>
        <v>2788.1032464113073</v>
      </c>
      <c r="L27" s="8">
        <f t="shared" si="4"/>
        <v>125513.43926145266</v>
      </c>
      <c r="M27" s="14">
        <f t="shared" si="5"/>
        <v>0.91916573794270118</v>
      </c>
      <c r="N27" s="14">
        <f t="shared" si="6"/>
        <v>0.1</v>
      </c>
      <c r="O27" s="15">
        <f t="shared" si="7"/>
        <v>65006.205767611435</v>
      </c>
      <c r="P27" s="8">
        <f t="shared" si="8"/>
        <v>217.41205942344823</v>
      </c>
      <c r="Q27" s="16">
        <f t="shared" si="9"/>
        <v>67180.326361845931</v>
      </c>
    </row>
    <row r="28" spans="2:17" ht="17.100000000000001" customHeight="1" x14ac:dyDescent="0.3">
      <c r="B28" s="7" t="s">
        <v>29</v>
      </c>
      <c r="C28" s="7" t="s">
        <v>39</v>
      </c>
      <c r="D28" s="8">
        <f>$C$11+450</f>
        <v>65450</v>
      </c>
      <c r="E28" s="9">
        <v>19</v>
      </c>
      <c r="F28" s="10">
        <f t="shared" si="0"/>
        <v>7.150496562261268E-3</v>
      </c>
      <c r="G28" s="11">
        <f t="shared" si="1"/>
        <v>15.6</v>
      </c>
      <c r="H28" s="10">
        <f t="shared" si="10"/>
        <v>5.4755951510100598E-2</v>
      </c>
      <c r="I28" s="12">
        <f t="shared" si="11"/>
        <v>119.09999999999998</v>
      </c>
      <c r="J28" s="13">
        <f t="shared" si="2"/>
        <v>65253.18073124715</v>
      </c>
      <c r="K28" s="12">
        <f t="shared" si="3"/>
        <v>2770.1229736639157</v>
      </c>
      <c r="L28" s="8">
        <f t="shared" si="4"/>
        <v>117627.32346478158</v>
      </c>
      <c r="M28" s="14">
        <f t="shared" si="5"/>
        <v>0.79720891466434807</v>
      </c>
      <c r="N28" s="14">
        <f t="shared" si="6"/>
        <v>0.1</v>
      </c>
      <c r="O28" s="15">
        <f t="shared" si="7"/>
        <v>65035.670128809659</v>
      </c>
      <c r="P28" s="8">
        <f t="shared" si="8"/>
        <v>217.51060243749089</v>
      </c>
      <c r="Q28" s="16">
        <f t="shared" si="9"/>
        <v>67210.776153184561</v>
      </c>
    </row>
    <row r="29" spans="2:17" ht="17.100000000000001" customHeight="1" x14ac:dyDescent="0.3">
      <c r="B29" s="7" t="s">
        <v>29</v>
      </c>
      <c r="C29" s="7" t="s">
        <v>40</v>
      </c>
      <c r="D29" s="8">
        <f>$C$11+500</f>
        <v>65500</v>
      </c>
      <c r="E29" s="9">
        <v>20</v>
      </c>
      <c r="F29" s="10">
        <f t="shared" si="0"/>
        <v>7.5114503816793889E-3</v>
      </c>
      <c r="G29" s="11">
        <f t="shared" si="1"/>
        <v>16.399999999999999</v>
      </c>
      <c r="H29" s="10">
        <f t="shared" si="10"/>
        <v>6.2267401891779983E-2</v>
      </c>
      <c r="I29" s="12">
        <f t="shared" si="11"/>
        <v>135.49999999999997</v>
      </c>
      <c r="J29" s="13">
        <f t="shared" si="2"/>
        <v>65282.9550695711</v>
      </c>
      <c r="K29" s="12">
        <f t="shared" si="3"/>
        <v>2750.9851760884103</v>
      </c>
      <c r="L29" s="8">
        <f t="shared" si="4"/>
        <v>111299.78203926563</v>
      </c>
      <c r="M29" s="14">
        <f t="shared" si="5"/>
        <v>0.69923331357657448</v>
      </c>
      <c r="N29" s="14">
        <f t="shared" si="6"/>
        <v>0.1</v>
      </c>
      <c r="O29" s="15">
        <f t="shared" si="7"/>
        <v>65065.3452193392</v>
      </c>
      <c r="P29" s="8">
        <f t="shared" si="8"/>
        <v>217.60985023190005</v>
      </c>
      <c r="Q29" s="16">
        <f t="shared" si="9"/>
        <v>67241.44372165823</v>
      </c>
    </row>
    <row r="30" spans="2:17" ht="17.100000000000001" customHeight="1" x14ac:dyDescent="0.3">
      <c r="B30" s="7" t="s">
        <v>29</v>
      </c>
      <c r="C30" s="7" t="s">
        <v>41</v>
      </c>
      <c r="D30" s="8">
        <f>$C$11+550</f>
        <v>65550</v>
      </c>
      <c r="E30" s="9">
        <v>21</v>
      </c>
      <c r="F30" s="10">
        <f t="shared" si="0"/>
        <v>7.9176201372997707E-3</v>
      </c>
      <c r="G30" s="11">
        <f t="shared" si="1"/>
        <v>17.3</v>
      </c>
      <c r="H30" s="10">
        <f t="shared" si="10"/>
        <v>7.0185022029079752E-2</v>
      </c>
      <c r="I30" s="12">
        <f t="shared" si="11"/>
        <v>152.79999999999998</v>
      </c>
      <c r="J30" s="13">
        <f t="shared" si="2"/>
        <v>65313.080590053971</v>
      </c>
      <c r="K30" s="12">
        <f t="shared" si="3"/>
        <v>2730.5718059938213</v>
      </c>
      <c r="L30" s="8">
        <f t="shared" si="4"/>
        <v>106101.92821580665</v>
      </c>
      <c r="M30" s="14">
        <f t="shared" si="5"/>
        <v>0.61864116271253466</v>
      </c>
      <c r="N30" s="14">
        <f t="shared" si="6"/>
        <v>0.1</v>
      </c>
      <c r="O30" s="15">
        <f t="shared" si="7"/>
        <v>65095.370321420458</v>
      </c>
      <c r="P30" s="8">
        <f t="shared" si="8"/>
        <v>217.7102686335129</v>
      </c>
      <c r="Q30" s="16">
        <f t="shared" si="9"/>
        <v>67272.473007755587</v>
      </c>
    </row>
    <row r="31" spans="2:17" ht="17.100000000000001" customHeight="1" x14ac:dyDescent="0.3">
      <c r="B31" s="7" t="s">
        <v>29</v>
      </c>
      <c r="C31" s="7" t="s">
        <v>42</v>
      </c>
      <c r="D31" s="8">
        <f>$C$11+600</f>
        <v>65600</v>
      </c>
      <c r="E31" s="9">
        <v>22</v>
      </c>
      <c r="F31" s="10">
        <f t="shared" si="0"/>
        <v>8.2774390243902443E-3</v>
      </c>
      <c r="G31" s="11">
        <f t="shared" si="1"/>
        <v>18.100000000000001</v>
      </c>
      <c r="H31" s="10">
        <f t="shared" si="10"/>
        <v>7.846246105346999E-2</v>
      </c>
      <c r="I31" s="12">
        <f t="shared" si="11"/>
        <v>170.89999999999998</v>
      </c>
      <c r="J31" s="13">
        <f t="shared" si="2"/>
        <v>65343.34930567741</v>
      </c>
      <c r="K31" s="12">
        <f t="shared" si="3"/>
        <v>2708.9625548923677</v>
      </c>
      <c r="L31" s="8">
        <f t="shared" si="4"/>
        <v>101794.72539325464</v>
      </c>
      <c r="M31" s="14">
        <f t="shared" si="5"/>
        <v>0.55174886270205248</v>
      </c>
      <c r="N31" s="14">
        <f t="shared" si="6"/>
        <v>0.1</v>
      </c>
      <c r="O31" s="15">
        <f t="shared" si="7"/>
        <v>65125.538141325153</v>
      </c>
      <c r="P31" s="8">
        <f t="shared" si="8"/>
        <v>217.81116435225704</v>
      </c>
      <c r="Q31" s="16">
        <f t="shared" si="9"/>
        <v>67303.64978484773</v>
      </c>
    </row>
    <row r="32" spans="2:17" ht="17.100000000000001" customHeight="1" x14ac:dyDescent="0.3">
      <c r="B32" s="7" t="s">
        <v>29</v>
      </c>
      <c r="C32" s="7" t="s">
        <v>43</v>
      </c>
      <c r="D32" s="8">
        <f>$C$11+650</f>
        <v>65650</v>
      </c>
      <c r="E32" s="9">
        <v>23</v>
      </c>
      <c r="F32" s="10">
        <f t="shared" si="0"/>
        <v>8.636709824828637E-3</v>
      </c>
      <c r="G32" s="11">
        <f t="shared" si="1"/>
        <v>18.899999999999999</v>
      </c>
      <c r="H32" s="10">
        <f t="shared" si="10"/>
        <v>8.7099170878298632E-2</v>
      </c>
      <c r="I32" s="12">
        <f t="shared" si="11"/>
        <v>189.79999999999998</v>
      </c>
      <c r="J32" s="13">
        <f t="shared" si="2"/>
        <v>65373.756633758028</v>
      </c>
      <c r="K32" s="12">
        <f t="shared" si="3"/>
        <v>2686.1394318396938</v>
      </c>
      <c r="L32" s="8">
        <f t="shared" si="4"/>
        <v>98178.245497227006</v>
      </c>
      <c r="M32" s="14">
        <f t="shared" si="5"/>
        <v>0.49547974862493538</v>
      </c>
      <c r="N32" s="14">
        <f t="shared" si="6"/>
        <v>0.1</v>
      </c>
      <c r="O32" s="15">
        <f t="shared" si="7"/>
        <v>65155.844111645507</v>
      </c>
      <c r="P32" s="8">
        <f t="shared" si="8"/>
        <v>217.9125221125214</v>
      </c>
      <c r="Q32" s="16">
        <f t="shared" si="9"/>
        <v>67334.969332770765</v>
      </c>
    </row>
    <row r="33" spans="2:17" ht="17.100000000000001" customHeight="1" x14ac:dyDescent="0.3">
      <c r="B33" s="7" t="s">
        <v>29</v>
      </c>
      <c r="C33" s="7" t="s">
        <v>44</v>
      </c>
      <c r="D33" s="8">
        <f>$C$11+700</f>
        <v>65700</v>
      </c>
      <c r="E33" s="9">
        <v>24</v>
      </c>
      <c r="F33" s="10">
        <f t="shared" si="0"/>
        <v>8.9954337899543386E-3</v>
      </c>
      <c r="G33" s="11">
        <f t="shared" si="1"/>
        <v>19.7</v>
      </c>
      <c r="H33" s="10">
        <f t="shared" si="10"/>
        <v>9.6094604668252967E-2</v>
      </c>
      <c r="I33" s="12">
        <f t="shared" si="11"/>
        <v>209.49999999999997</v>
      </c>
      <c r="J33" s="13">
        <f t="shared" si="2"/>
        <v>65404.296335862775</v>
      </c>
      <c r="K33" s="12">
        <f t="shared" si="3"/>
        <v>2662.0844732957794</v>
      </c>
      <c r="L33" s="8">
        <f t="shared" si="4"/>
        <v>95107.352948052052</v>
      </c>
      <c r="M33" s="14">
        <f t="shared" si="5"/>
        <v>0.44760050149242087</v>
      </c>
      <c r="N33" s="14">
        <f t="shared" si="6"/>
        <v>0.1</v>
      </c>
      <c r="O33" s="15">
        <f t="shared" si="7"/>
        <v>65186.282014743236</v>
      </c>
      <c r="P33" s="8">
        <f t="shared" si="8"/>
        <v>218.01432111953909</v>
      </c>
      <c r="Q33" s="16">
        <f t="shared" si="9"/>
        <v>67366.425225938656</v>
      </c>
    </row>
    <row r="34" spans="2:17" ht="17.100000000000001" customHeight="1" x14ac:dyDescent="0.3">
      <c r="B34" s="7" t="s">
        <v>29</v>
      </c>
      <c r="C34" s="7" t="s">
        <v>45</v>
      </c>
      <c r="D34" s="8">
        <f>$C$11+750</f>
        <v>65750</v>
      </c>
      <c r="E34" s="9">
        <v>25</v>
      </c>
      <c r="F34" s="10">
        <f t="shared" si="0"/>
        <v>9.3536121673003809E-3</v>
      </c>
      <c r="G34" s="11">
        <f t="shared" si="1"/>
        <v>20.5</v>
      </c>
      <c r="H34" s="10">
        <f t="shared" si="10"/>
        <v>0.10544821683555335</v>
      </c>
      <c r="I34" s="12">
        <f t="shared" si="11"/>
        <v>229.99999999999997</v>
      </c>
      <c r="J34" s="13">
        <f t="shared" si="2"/>
        <v>65434.961415806203</v>
      </c>
      <c r="K34" s="12">
        <f t="shared" si="3"/>
        <v>2636.7797430623668</v>
      </c>
      <c r="L34" s="8">
        <f t="shared" si="4"/>
        <v>92474.240662614597</v>
      </c>
      <c r="M34" s="14">
        <f t="shared" si="5"/>
        <v>0.4064523294694235</v>
      </c>
      <c r="N34" s="14">
        <f t="shared" si="6"/>
        <v>0.1</v>
      </c>
      <c r="O34" s="15">
        <f t="shared" si="7"/>
        <v>65216.844877753516</v>
      </c>
      <c r="P34" s="8">
        <f t="shared" si="8"/>
        <v>218.11653805268725</v>
      </c>
      <c r="Q34" s="16">
        <f t="shared" si="9"/>
        <v>67398.010258280396</v>
      </c>
    </row>
    <row r="35" spans="2:17" ht="17.100000000000001" customHeight="1" x14ac:dyDescent="0.3">
      <c r="B35" s="7" t="s">
        <v>29</v>
      </c>
      <c r="C35" s="7" t="s">
        <v>46</v>
      </c>
      <c r="D35" s="8">
        <f>$C$11+800</f>
        <v>65800</v>
      </c>
      <c r="E35" s="9">
        <v>26</v>
      </c>
      <c r="F35" s="10">
        <f t="shared" si="0"/>
        <v>9.7568389057750768E-3</v>
      </c>
      <c r="G35" s="11">
        <f t="shared" si="1"/>
        <v>21.4</v>
      </c>
      <c r="H35" s="10">
        <f t="shared" si="10"/>
        <v>0.11520505574132842</v>
      </c>
      <c r="I35" s="12">
        <f t="shared" si="11"/>
        <v>251.39999999999998</v>
      </c>
      <c r="J35" s="13">
        <f t="shared" si="2"/>
        <v>65465.876922399664</v>
      </c>
      <c r="K35" s="12">
        <f t="shared" si="3"/>
        <v>2610.1073322205889</v>
      </c>
      <c r="L35" s="8">
        <f t="shared" si="4"/>
        <v>90187.446066366319</v>
      </c>
      <c r="M35" s="14">
        <f t="shared" si="5"/>
        <v>0.37062987942805958</v>
      </c>
      <c r="N35" s="14">
        <f t="shared" si="6"/>
        <v>0.1</v>
      </c>
      <c r="O35" s="15">
        <f t="shared" si="7"/>
        <v>65247.657332658331</v>
      </c>
      <c r="P35" s="8">
        <f t="shared" si="8"/>
        <v>218.21958974133304</v>
      </c>
      <c r="Q35" s="16">
        <f t="shared" si="9"/>
        <v>67429.853230071662</v>
      </c>
    </row>
    <row r="36" spans="2:17" ht="17.100000000000001" customHeight="1" x14ac:dyDescent="0.3">
      <c r="B36" s="7" t="s">
        <v>29</v>
      </c>
      <c r="C36" s="7" t="s">
        <v>47</v>
      </c>
      <c r="D36" s="8">
        <f>$C$11+850</f>
        <v>65850</v>
      </c>
      <c r="E36" s="9">
        <v>27</v>
      </c>
      <c r="F36" s="10">
        <f t="shared" si="0"/>
        <v>1.0113895216400911E-2</v>
      </c>
      <c r="G36" s="11">
        <f t="shared" si="1"/>
        <v>22.2</v>
      </c>
      <c r="H36" s="10">
        <f t="shared" si="10"/>
        <v>0.12531895095772932</v>
      </c>
      <c r="I36" s="12">
        <f t="shared" si="11"/>
        <v>273.59999999999997</v>
      </c>
      <c r="J36" s="13">
        <f t="shared" si="2"/>
        <v>65496.877665123415</v>
      </c>
      <c r="K36" s="12">
        <f t="shared" si="3"/>
        <v>2582.1470794335223</v>
      </c>
      <c r="L36" s="8">
        <f t="shared" si="4"/>
        <v>88196.84679722623</v>
      </c>
      <c r="M36" s="14">
        <f t="shared" si="5"/>
        <v>0.33935986024641202</v>
      </c>
      <c r="N36" s="14">
        <f t="shared" si="6"/>
        <v>0.1</v>
      </c>
      <c r="O36" s="15">
        <f t="shared" si="7"/>
        <v>65278.554739573003</v>
      </c>
      <c r="P36" s="8">
        <f t="shared" si="8"/>
        <v>218.32292555041204</v>
      </c>
      <c r="Q36" s="16">
        <f t="shared" si="9"/>
        <v>67461.783995077116</v>
      </c>
    </row>
    <row r="37" spans="2:17" ht="17.100000000000001" customHeight="1" x14ac:dyDescent="0.3">
      <c r="B37" s="7" t="s">
        <v>29</v>
      </c>
      <c r="C37" s="7" t="s">
        <v>48</v>
      </c>
      <c r="D37" s="8">
        <f>$C$11+900</f>
        <v>65900</v>
      </c>
      <c r="E37" s="9">
        <v>28</v>
      </c>
      <c r="F37" s="10">
        <f t="shared" si="0"/>
        <v>1.0470409711684371E-2</v>
      </c>
      <c r="G37" s="11">
        <f t="shared" si="1"/>
        <v>23</v>
      </c>
      <c r="H37" s="10">
        <f t="shared" si="10"/>
        <v>0.13578936066941369</v>
      </c>
      <c r="I37" s="12">
        <f t="shared" si="11"/>
        <v>296.59999999999997</v>
      </c>
      <c r="J37" s="13">
        <f t="shared" si="2"/>
        <v>65527.961514323979</v>
      </c>
      <c r="K37" s="12">
        <f t="shared" si="3"/>
        <v>2552.8811318856365</v>
      </c>
      <c r="L37" s="8">
        <f t="shared" si="4"/>
        <v>86452.306901768359</v>
      </c>
      <c r="M37" s="14">
        <f t="shared" si="5"/>
        <v>0.31187112142288859</v>
      </c>
      <c r="N37" s="14">
        <f t="shared" si="6"/>
        <v>0.1</v>
      </c>
      <c r="O37" s="15">
        <f t="shared" si="7"/>
        <v>65309.534975942901</v>
      </c>
      <c r="P37" s="8">
        <f t="shared" si="8"/>
        <v>218.42653838107799</v>
      </c>
      <c r="Q37" s="16">
        <f t="shared" si="9"/>
        <v>67493.800359753703</v>
      </c>
    </row>
    <row r="38" spans="2:17" ht="17.100000000000001" customHeight="1" x14ac:dyDescent="0.3">
      <c r="B38" s="7" t="s">
        <v>29</v>
      </c>
      <c r="C38" s="7" t="s">
        <v>49</v>
      </c>
      <c r="D38" s="8">
        <f>$C$11+950</f>
        <v>65950</v>
      </c>
      <c r="E38" s="9">
        <v>29</v>
      </c>
      <c r="F38" s="10">
        <f t="shared" si="0"/>
        <v>1.0826383623957544E-2</v>
      </c>
      <c r="G38" s="11">
        <f t="shared" si="1"/>
        <v>23.8</v>
      </c>
      <c r="H38" s="10">
        <f t="shared" si="10"/>
        <v>0.14661574429337124</v>
      </c>
      <c r="I38" s="12">
        <f t="shared" si="11"/>
        <v>320.39999999999998</v>
      </c>
      <c r="J38" s="13">
        <f t="shared" si="2"/>
        <v>65559.125633648451</v>
      </c>
      <c r="K38" s="12">
        <f t="shared" si="3"/>
        <v>2522.2916638521679</v>
      </c>
      <c r="L38" s="8">
        <f t="shared" si="4"/>
        <v>84914.149594123592</v>
      </c>
      <c r="M38" s="14">
        <f t="shared" si="5"/>
        <v>0.28755344342871253</v>
      </c>
      <c r="N38" s="14">
        <f t="shared" si="6"/>
        <v>0.1</v>
      </c>
      <c r="O38" s="15">
        <f t="shared" si="7"/>
        <v>65340.595214869623</v>
      </c>
      <c r="P38" s="8">
        <f t="shared" si="8"/>
        <v>218.53041877882788</v>
      </c>
      <c r="Q38" s="16">
        <f t="shared" si="9"/>
        <v>67525.899402657902</v>
      </c>
    </row>
    <row r="39" spans="2:17" ht="17.100000000000001" customHeight="1" x14ac:dyDescent="0.3">
      <c r="B39" s="7" t="s">
        <v>50</v>
      </c>
      <c r="C39" s="7" t="s">
        <v>30</v>
      </c>
      <c r="D39" s="8">
        <f>$C$11+1000</f>
        <v>66000</v>
      </c>
      <c r="E39" s="9">
        <v>30</v>
      </c>
      <c r="F39" s="10">
        <f t="shared" si="0"/>
        <v>1.1181818181818182E-2</v>
      </c>
      <c r="G39" s="11">
        <f t="shared" si="1"/>
        <v>24.6</v>
      </c>
      <c r="H39" s="10">
        <f t="shared" si="10"/>
        <v>0.15779756247518942</v>
      </c>
      <c r="I39" s="12">
        <f t="shared" si="11"/>
        <v>345</v>
      </c>
      <c r="J39" s="13">
        <f t="shared" si="2"/>
        <v>65590.36678166264</v>
      </c>
      <c r="K39" s="12">
        <f t="shared" si="3"/>
        <v>2490.3608766374978</v>
      </c>
      <c r="L39" s="8">
        <f t="shared" si="4"/>
        <v>83550.590992576253</v>
      </c>
      <c r="M39" s="14">
        <f t="shared" si="5"/>
        <v>0.26591804534206442</v>
      </c>
      <c r="N39" s="14">
        <f t="shared" si="6"/>
        <v>0.05</v>
      </c>
      <c r="O39" s="15">
        <f t="shared" si="7"/>
        <v>65481.049503693197</v>
      </c>
      <c r="P39" s="8">
        <f t="shared" si="8"/>
        <v>109.31727796944324</v>
      </c>
      <c r="Q39" s="16">
        <f t="shared" si="9"/>
        <v>67558.077785112517</v>
      </c>
    </row>
    <row r="40" spans="2:17" ht="17.100000000000001" customHeight="1" x14ac:dyDescent="0.3">
      <c r="B40" s="7" t="s">
        <v>50</v>
      </c>
      <c r="C40" s="7" t="s">
        <v>31</v>
      </c>
      <c r="D40" s="8">
        <f>$C$11+1050</f>
        <v>66050</v>
      </c>
      <c r="E40" s="9">
        <v>32</v>
      </c>
      <c r="F40" s="10">
        <f t="shared" si="0"/>
        <v>1.194549583648751E-2</v>
      </c>
      <c r="G40" s="11">
        <f t="shared" si="1"/>
        <v>26.3</v>
      </c>
      <c r="H40" s="10">
        <f t="shared" si="10"/>
        <v>0.16974305831167694</v>
      </c>
      <c r="I40" s="12">
        <f t="shared" si="11"/>
        <v>371.3</v>
      </c>
      <c r="J40" s="13">
        <f t="shared" si="2"/>
        <v>65622.713003950441</v>
      </c>
      <c r="K40" s="12">
        <f t="shared" si="3"/>
        <v>2456.1709985137381</v>
      </c>
      <c r="L40" s="8">
        <f t="shared" si="4"/>
        <v>82295.879241235278</v>
      </c>
      <c r="M40" s="14">
        <f t="shared" si="5"/>
        <v>0.24596334960235092</v>
      </c>
      <c r="N40" s="14">
        <f t="shared" si="6"/>
        <v>0.05</v>
      </c>
      <c r="O40" s="15">
        <f t="shared" si="7"/>
        <v>65513.341815610518</v>
      </c>
      <c r="P40" s="8">
        <f t="shared" si="8"/>
        <v>109.37118833992281</v>
      </c>
      <c r="Q40" s="16">
        <f t="shared" si="9"/>
        <v>67591.39439406895</v>
      </c>
    </row>
    <row r="41" spans="2:17" ht="17.100000000000001" customHeight="1" x14ac:dyDescent="0.3">
      <c r="B41" s="7" t="s">
        <v>50</v>
      </c>
      <c r="C41" s="7" t="s">
        <v>32</v>
      </c>
      <c r="D41" s="8">
        <f>$C$11+1100</f>
        <v>66100</v>
      </c>
      <c r="E41" s="9">
        <v>34</v>
      </c>
      <c r="F41" s="10">
        <f t="shared" si="0"/>
        <v>1.2662632375189107E-2</v>
      </c>
      <c r="G41" s="11">
        <f t="shared" si="1"/>
        <v>27.9</v>
      </c>
      <c r="H41" s="10">
        <f t="shared" si="10"/>
        <v>0.18240569068686605</v>
      </c>
      <c r="I41" s="12">
        <f t="shared" si="11"/>
        <v>399.2</v>
      </c>
      <c r="J41" s="13">
        <f t="shared" si="2"/>
        <v>65655.846343955767</v>
      </c>
      <c r="K41" s="12">
        <f t="shared" si="3"/>
        <v>2419.783845598155</v>
      </c>
      <c r="L41" s="8">
        <f t="shared" si="4"/>
        <v>81148.729483235627</v>
      </c>
      <c r="M41" s="14">
        <f t="shared" si="5"/>
        <v>0.22766610413367061</v>
      </c>
      <c r="N41" s="14">
        <f t="shared" si="6"/>
        <v>0.05</v>
      </c>
      <c r="O41" s="15">
        <f t="shared" si="7"/>
        <v>65546.419933382509</v>
      </c>
      <c r="P41" s="8">
        <f t="shared" si="8"/>
        <v>109.42641057325818</v>
      </c>
      <c r="Q41" s="16">
        <f t="shared" si="9"/>
        <v>67625.521734274444</v>
      </c>
    </row>
    <row r="42" spans="2:17" ht="17.100000000000001" customHeight="1" x14ac:dyDescent="0.3">
      <c r="B42" s="7" t="s">
        <v>50</v>
      </c>
      <c r="C42" s="7" t="s">
        <v>33</v>
      </c>
      <c r="D42" s="8">
        <f>$C$11+1150</f>
        <v>66150</v>
      </c>
      <c r="E42" s="9">
        <v>36</v>
      </c>
      <c r="F42" s="10">
        <f t="shared" si="0"/>
        <v>1.3424036281179138E-2</v>
      </c>
      <c r="G42" s="11">
        <f t="shared" si="1"/>
        <v>29.6</v>
      </c>
      <c r="H42" s="10">
        <f t="shared" si="10"/>
        <v>0.19582972696804518</v>
      </c>
      <c r="I42" s="12">
        <f t="shared" si="11"/>
        <v>428.8</v>
      </c>
      <c r="J42" s="13">
        <f t="shared" si="2"/>
        <v>65689.720346181683</v>
      </c>
      <c r="K42" s="12">
        <f t="shared" si="3"/>
        <v>2381.0635610638124</v>
      </c>
      <c r="L42" s="8">
        <f t="shared" si="4"/>
        <v>80098.013627231398</v>
      </c>
      <c r="M42" s="14">
        <f t="shared" si="5"/>
        <v>0.21085432543055779</v>
      </c>
      <c r="N42" s="14">
        <f t="shared" si="6"/>
        <v>0.05</v>
      </c>
      <c r="O42" s="15">
        <f t="shared" si="7"/>
        <v>65580.237478938041</v>
      </c>
      <c r="P42" s="8">
        <f t="shared" si="8"/>
        <v>109.48286724364152</v>
      </c>
      <c r="Q42" s="16">
        <f t="shared" si="9"/>
        <v>67660.411956567128</v>
      </c>
    </row>
    <row r="43" spans="2:17" ht="17.100000000000001" customHeight="1" x14ac:dyDescent="0.3">
      <c r="B43" s="7" t="s">
        <v>50</v>
      </c>
      <c r="C43" s="7" t="s">
        <v>34</v>
      </c>
      <c r="D43" s="8">
        <f>$C$11+1200</f>
        <v>66200</v>
      </c>
      <c r="E43" s="9">
        <v>38</v>
      </c>
      <c r="F43" s="10">
        <f t="shared" si="0"/>
        <v>1.4138972809667675E-2</v>
      </c>
      <c r="G43" s="11">
        <f t="shared" si="1"/>
        <v>31.2</v>
      </c>
      <c r="H43" s="10">
        <f t="shared" si="10"/>
        <v>0.20996869977771285</v>
      </c>
      <c r="I43" s="12">
        <f t="shared" si="11"/>
        <v>460</v>
      </c>
      <c r="J43" s="13">
        <f t="shared" si="2"/>
        <v>65724.081801761975</v>
      </c>
      <c r="K43" s="12">
        <f t="shared" si="3"/>
        <v>2340.0720747154101</v>
      </c>
      <c r="L43" s="8">
        <f t="shared" si="4"/>
        <v>79139.964387441418</v>
      </c>
      <c r="M43" s="14">
        <f t="shared" si="5"/>
        <v>0.19546773999156219</v>
      </c>
      <c r="N43" s="14">
        <f t="shared" si="6"/>
        <v>0.05</v>
      </c>
      <c r="O43" s="15">
        <f t="shared" si="7"/>
        <v>65614.541665425699</v>
      </c>
      <c r="P43" s="8">
        <f t="shared" si="8"/>
        <v>109.54013633627619</v>
      </c>
      <c r="Q43" s="16">
        <f t="shared" si="9"/>
        <v>67695.80425581483</v>
      </c>
    </row>
    <row r="44" spans="2:17" ht="17.100000000000001" customHeight="1" x14ac:dyDescent="0.3">
      <c r="B44" s="7" t="s">
        <v>50</v>
      </c>
      <c r="C44" s="7" t="s">
        <v>35</v>
      </c>
      <c r="D44" s="8">
        <f>$C$11+1250</f>
        <v>66250</v>
      </c>
      <c r="E44" s="9">
        <v>40</v>
      </c>
      <c r="F44" s="10">
        <f t="shared" si="0"/>
        <v>1.489811320754717E-2</v>
      </c>
      <c r="G44" s="11">
        <f t="shared" si="1"/>
        <v>32.9</v>
      </c>
      <c r="H44" s="10">
        <f t="shared" si="10"/>
        <v>0.22486681298526001</v>
      </c>
      <c r="I44" s="12">
        <f t="shared" si="11"/>
        <v>492.9</v>
      </c>
      <c r="J44" s="13">
        <f t="shared" si="2"/>
        <v>65758.925488792724</v>
      </c>
      <c r="K44" s="12">
        <f t="shared" si="3"/>
        <v>2296.6736397265254</v>
      </c>
      <c r="L44" s="8">
        <f t="shared" si="4"/>
        <v>78264.127736261347</v>
      </c>
      <c r="M44" s="14">
        <f t="shared" si="5"/>
        <v>0.18134532432092601</v>
      </c>
      <c r="N44" s="14">
        <f t="shared" si="6"/>
        <v>0.05</v>
      </c>
      <c r="O44" s="15">
        <f t="shared" si="7"/>
        <v>65649.327279644727</v>
      </c>
      <c r="P44" s="8">
        <f t="shared" si="8"/>
        <v>109.59820914799639</v>
      </c>
      <c r="Q44" s="16">
        <f t="shared" si="9"/>
        <v>67731.693253456513</v>
      </c>
    </row>
    <row r="45" spans="2:17" ht="17.100000000000001" customHeight="1" x14ac:dyDescent="0.3">
      <c r="B45" s="7" t="s">
        <v>50</v>
      </c>
      <c r="C45" s="7" t="s">
        <v>36</v>
      </c>
      <c r="D45" s="8">
        <f>$C$11+1300</f>
        <v>66300</v>
      </c>
      <c r="E45" s="9">
        <v>42</v>
      </c>
      <c r="F45" s="10">
        <f t="shared" si="0"/>
        <v>1.5610859728506787E-2</v>
      </c>
      <c r="G45" s="11">
        <f t="shared" si="1"/>
        <v>34.5</v>
      </c>
      <c r="H45" s="10">
        <f t="shared" si="10"/>
        <v>0.2404776727137668</v>
      </c>
      <c r="I45" s="12">
        <f t="shared" si="11"/>
        <v>527.4</v>
      </c>
      <c r="J45" s="13">
        <f t="shared" si="2"/>
        <v>65794.04990679714</v>
      </c>
      <c r="K45" s="12">
        <f t="shared" si="3"/>
        <v>2250.9302990772626</v>
      </c>
      <c r="L45" s="8">
        <f t="shared" si="4"/>
        <v>77466.051260261462</v>
      </c>
      <c r="M45" s="14">
        <f t="shared" si="5"/>
        <v>0.16841706274904167</v>
      </c>
      <c r="N45" s="14">
        <f t="shared" si="6"/>
        <v>0.05</v>
      </c>
      <c r="O45" s="15">
        <f t="shared" si="7"/>
        <v>65684.393156952472</v>
      </c>
      <c r="P45" s="8">
        <f t="shared" si="8"/>
        <v>109.6567498446675</v>
      </c>
      <c r="Q45" s="16">
        <f t="shared" si="9"/>
        <v>67767.871404001053</v>
      </c>
    </row>
    <row r="46" spans="2:17" ht="17.100000000000001" customHeight="1" x14ac:dyDescent="0.3">
      <c r="B46" s="7" t="s">
        <v>50</v>
      </c>
      <c r="C46" s="7" t="s">
        <v>37</v>
      </c>
      <c r="D46" s="8">
        <f>$C$11+1350</f>
        <v>66350</v>
      </c>
      <c r="E46" s="9">
        <v>44</v>
      </c>
      <c r="F46" s="10">
        <f t="shared" si="0"/>
        <v>1.6322532027128862E-2</v>
      </c>
      <c r="G46" s="11">
        <f t="shared" si="1"/>
        <v>36.1</v>
      </c>
      <c r="H46" s="10">
        <f t="shared" si="10"/>
        <v>0.25680020474089565</v>
      </c>
      <c r="I46" s="12">
        <f t="shared" si="11"/>
        <v>563.5</v>
      </c>
      <c r="J46" s="13">
        <f t="shared" si="2"/>
        <v>65829.386768038908</v>
      </c>
      <c r="K46" s="12">
        <f t="shared" si="3"/>
        <v>2202.8064154415724</v>
      </c>
      <c r="L46" s="8">
        <f t="shared" si="4"/>
        <v>76738.52005521112</v>
      </c>
      <c r="M46" s="14">
        <f t="shared" si="5"/>
        <v>0.15657151552691967</v>
      </c>
      <c r="N46" s="14">
        <f t="shared" si="6"/>
        <v>0.05</v>
      </c>
      <c r="O46" s="15">
        <f t="shared" si="7"/>
        <v>65719.671123425505</v>
      </c>
      <c r="P46" s="8">
        <f t="shared" si="8"/>
        <v>109.71564461340313</v>
      </c>
      <c r="Q46" s="16">
        <f t="shared" si="9"/>
        <v>67804.268371080077</v>
      </c>
    </row>
    <row r="47" spans="2:17" ht="17.100000000000001" customHeight="1" x14ac:dyDescent="0.3">
      <c r="B47" s="7" t="s">
        <v>50</v>
      </c>
      <c r="C47" s="7" t="s">
        <v>38</v>
      </c>
      <c r="D47" s="8">
        <f>$C$11+1400</f>
        <v>66400</v>
      </c>
      <c r="E47" s="9">
        <v>46</v>
      </c>
      <c r="F47" s="10">
        <f t="shared" si="0"/>
        <v>1.7078313253012047E-2</v>
      </c>
      <c r="G47" s="11">
        <f t="shared" si="1"/>
        <v>37.799999999999997</v>
      </c>
      <c r="H47" s="10">
        <f t="shared" si="10"/>
        <v>0.27387851799390772</v>
      </c>
      <c r="I47" s="12">
        <f t="shared" si="11"/>
        <v>601.29999999999995</v>
      </c>
      <c r="J47" s="13">
        <f t="shared" si="2"/>
        <v>65864.968644241264</v>
      </c>
      <c r="K47" s="12">
        <f t="shared" si="3"/>
        <v>2152.1664052045262</v>
      </c>
      <c r="L47" s="8">
        <f t="shared" si="4"/>
        <v>76073.238687198638</v>
      </c>
      <c r="M47" s="14">
        <f t="shared" si="5"/>
        <v>0.14568130553009997</v>
      </c>
      <c r="N47" s="14">
        <f t="shared" si="6"/>
        <v>0.05</v>
      </c>
      <c r="O47" s="15">
        <f t="shared" si="7"/>
        <v>65755.193696500864</v>
      </c>
      <c r="P47" s="8">
        <f t="shared" si="8"/>
        <v>109.77494774039951</v>
      </c>
      <c r="Q47" s="16">
        <f t="shared" si="9"/>
        <v>67840.917703568499</v>
      </c>
    </row>
    <row r="48" spans="2:17" ht="17.100000000000001" customHeight="1" x14ac:dyDescent="0.3">
      <c r="B48" s="7" t="s">
        <v>50</v>
      </c>
      <c r="C48" s="7" t="s">
        <v>39</v>
      </c>
      <c r="D48" s="8">
        <f>$C$11+1450</f>
        <v>66450</v>
      </c>
      <c r="E48" s="9">
        <v>48</v>
      </c>
      <c r="F48" s="10">
        <f t="shared" si="0"/>
        <v>1.7787810383747178E-2</v>
      </c>
      <c r="G48" s="11">
        <f t="shared" si="1"/>
        <v>39.4</v>
      </c>
      <c r="H48" s="10">
        <f t="shared" si="10"/>
        <v>0.29166632837765488</v>
      </c>
      <c r="I48" s="12">
        <f t="shared" si="11"/>
        <v>640.69999999999993</v>
      </c>
      <c r="J48" s="13">
        <f t="shared" si="2"/>
        <v>65900.647863308695</v>
      </c>
      <c r="K48" s="12">
        <f t="shared" si="3"/>
        <v>2099.0724793048275</v>
      </c>
      <c r="L48" s="8">
        <f t="shared" si="4"/>
        <v>75466.18561033094</v>
      </c>
      <c r="M48" s="14">
        <f t="shared" si="5"/>
        <v>0.13568375636314431</v>
      </c>
      <c r="N48" s="14">
        <f t="shared" si="6"/>
        <v>0.05</v>
      </c>
      <c r="O48" s="15">
        <f t="shared" si="7"/>
        <v>65790.813450203175</v>
      </c>
      <c r="P48" s="8">
        <f t="shared" si="8"/>
        <v>109.83441310552007</v>
      </c>
      <c r="Q48" s="16">
        <f t="shared" si="9"/>
        <v>67877.667299207955</v>
      </c>
    </row>
    <row r="49" spans="2:17" ht="17.100000000000001" customHeight="1" x14ac:dyDescent="0.3">
      <c r="B49" s="7" t="s">
        <v>50</v>
      </c>
      <c r="C49" s="7" t="s">
        <v>40</v>
      </c>
      <c r="D49" s="8">
        <f>$C$11+1500</f>
        <v>66500</v>
      </c>
      <c r="E49" s="9">
        <v>50</v>
      </c>
      <c r="F49" s="10">
        <f t="shared" si="0"/>
        <v>1.8541353383458647E-2</v>
      </c>
      <c r="G49" s="11">
        <f t="shared" si="1"/>
        <v>41.1</v>
      </c>
      <c r="H49" s="10">
        <f t="shared" si="10"/>
        <v>0.31020768176111352</v>
      </c>
      <c r="I49" s="12">
        <f t="shared" si="11"/>
        <v>681.8</v>
      </c>
      <c r="J49" s="13">
        <f t="shared" si="2"/>
        <v>65936.471604695238</v>
      </c>
      <c r="K49" s="12">
        <f t="shared" si="3"/>
        <v>2043.3891628859492</v>
      </c>
      <c r="L49" s="8">
        <f t="shared" si="4"/>
        <v>74910.494844446628</v>
      </c>
      <c r="M49" s="14">
        <f t="shared" si="5"/>
        <v>0.12647360668340793</v>
      </c>
      <c r="N49" s="14">
        <f t="shared" si="6"/>
        <v>0.05</v>
      </c>
      <c r="O49" s="15">
        <f t="shared" si="7"/>
        <v>65826.577485354079</v>
      </c>
      <c r="P49" s="8">
        <f t="shared" si="8"/>
        <v>109.89411934115924</v>
      </c>
      <c r="Q49" s="16">
        <f t="shared" si="9"/>
        <v>67914.56575283609</v>
      </c>
    </row>
    <row r="50" spans="2:17" ht="17.100000000000001" customHeight="1" x14ac:dyDescent="0.3">
      <c r="B50" s="7" t="s">
        <v>50</v>
      </c>
      <c r="C50" s="7" t="s">
        <v>41</v>
      </c>
      <c r="D50" s="8">
        <f>$C$11+1550</f>
        <v>66550</v>
      </c>
      <c r="E50" s="9">
        <v>52</v>
      </c>
      <c r="F50" s="10">
        <f t="shared" si="0"/>
        <v>1.9248685199098423E-2</v>
      </c>
      <c r="G50" s="11">
        <f t="shared" si="1"/>
        <v>42.7</v>
      </c>
      <c r="H50" s="10">
        <f t="shared" si="10"/>
        <v>0.32945636696021197</v>
      </c>
      <c r="I50" s="12">
        <f t="shared" si="11"/>
        <v>724.5</v>
      </c>
      <c r="J50" s="13">
        <f t="shared" si="2"/>
        <v>65972.317367977623</v>
      </c>
      <c r="K50" s="12">
        <f t="shared" si="3"/>
        <v>1985.1787787978947</v>
      </c>
      <c r="L50" s="8">
        <f t="shared" si="4"/>
        <v>74402.683539291305</v>
      </c>
      <c r="M50" s="14">
        <f t="shared" si="5"/>
        <v>0.11799674739731487</v>
      </c>
      <c r="N50" s="14">
        <f t="shared" si="6"/>
        <v>0.05</v>
      </c>
      <c r="O50" s="15">
        <f t="shared" si="7"/>
        <v>65862.363505697664</v>
      </c>
      <c r="P50" s="8">
        <f t="shared" si="8"/>
        <v>109.95386227995914</v>
      </c>
      <c r="Q50" s="16">
        <f t="shared" si="9"/>
        <v>67951.48688901696</v>
      </c>
    </row>
    <row r="51" spans="2:17" ht="17.100000000000001" customHeight="1" x14ac:dyDescent="0.3">
      <c r="B51" s="7" t="s">
        <v>50</v>
      </c>
      <c r="C51" s="7" t="s">
        <v>42</v>
      </c>
      <c r="D51" s="8">
        <f>$C$11+1600</f>
        <v>66600</v>
      </c>
      <c r="E51" s="9">
        <v>54</v>
      </c>
      <c r="F51" s="10">
        <f t="shared" ref="F51:F78" si="12">(G51*$C$13)/D51</f>
        <v>0.02</v>
      </c>
      <c r="G51" s="11">
        <f t="shared" ref="G51:G78" si="13">ROUND($C$12*E51/SUM($E$19:$E$78), 1)</f>
        <v>44.4</v>
      </c>
      <c r="H51" s="10">
        <f t="shared" si="10"/>
        <v>0.34945636696021198</v>
      </c>
      <c r="I51" s="12">
        <f t="shared" si="11"/>
        <v>768.9</v>
      </c>
      <c r="J51" s="13">
        <f t="shared" ref="J51:J78" si="14">I51*$C$13/H51</f>
        <v>66008.24074447708</v>
      </c>
      <c r="K51" s="12">
        <f t="shared" ref="K51:K78" si="15">$C$12-I51+H51*(J51-D51)</f>
        <v>1924.3059604498803</v>
      </c>
      <c r="L51" s="8">
        <f t="shared" ref="L51:L78" si="16">(J51*H51+$C$12)/(H51*(1+$C$14))</f>
        <v>73937.158936398628</v>
      </c>
      <c r="M51" s="14">
        <f t="shared" ref="M51:M78" si="17">(L51-D51)/D51</f>
        <v>0.11016755159757699</v>
      </c>
      <c r="N51" s="14">
        <f t="shared" ref="N51:N78" si="18">IF(B51="1차",0.1,IF(B51="2차",0.05,0.02))</f>
        <v>0.05</v>
      </c>
      <c r="O51" s="15">
        <f t="shared" ref="O51:O78" si="19">J51*(1-N51/$C$13)</f>
        <v>65898.227009902956</v>
      </c>
      <c r="P51" s="8">
        <f t="shared" ref="P51:P78" si="20">J51-O51</f>
        <v>110.0137345741241</v>
      </c>
      <c r="Q51" s="16">
        <f t="shared" ref="Q51:Q78" si="21">J51*(1+$C$15)</f>
        <v>67988.487966811401</v>
      </c>
    </row>
    <row r="52" spans="2:17" ht="17.100000000000001" customHeight="1" x14ac:dyDescent="0.3">
      <c r="B52" s="7" t="s">
        <v>50</v>
      </c>
      <c r="C52" s="7" t="s">
        <v>43</v>
      </c>
      <c r="D52" s="8">
        <f>$C$11+1650</f>
        <v>66650</v>
      </c>
      <c r="E52" s="9">
        <v>56</v>
      </c>
      <c r="F52" s="10">
        <f t="shared" si="12"/>
        <v>2.0705176294073518E-2</v>
      </c>
      <c r="G52" s="11">
        <f t="shared" si="13"/>
        <v>46</v>
      </c>
      <c r="H52" s="10">
        <f t="shared" ref="H52:H78" si="22">H51+F52</f>
        <v>0.37016154325428552</v>
      </c>
      <c r="I52" s="12">
        <f t="shared" ref="I52:I78" si="23">I51+G52</f>
        <v>814.9</v>
      </c>
      <c r="J52" s="13">
        <f t="shared" si="14"/>
        <v>66044.137878488182</v>
      </c>
      <c r="K52" s="12">
        <f t="shared" si="15"/>
        <v>1860.8331421018697</v>
      </c>
      <c r="L52" s="8">
        <f t="shared" si="16"/>
        <v>73511.000182261123</v>
      </c>
      <c r="M52" s="14">
        <f t="shared" si="17"/>
        <v>0.10294073791839645</v>
      </c>
      <c r="N52" s="14">
        <f t="shared" si="18"/>
        <v>0.05</v>
      </c>
      <c r="O52" s="15">
        <f t="shared" si="19"/>
        <v>65934.064315357362</v>
      </c>
      <c r="P52" s="8">
        <f t="shared" si="20"/>
        <v>110.07356313081982</v>
      </c>
      <c r="Q52" s="16">
        <f t="shared" si="21"/>
        <v>68025.462014842822</v>
      </c>
    </row>
    <row r="53" spans="2:17" ht="17.100000000000001" customHeight="1" x14ac:dyDescent="0.3">
      <c r="B53" s="7" t="s">
        <v>50</v>
      </c>
      <c r="C53" s="7" t="s">
        <v>44</v>
      </c>
      <c r="D53" s="8">
        <f>$C$11+1700</f>
        <v>66700</v>
      </c>
      <c r="E53" s="9">
        <v>58</v>
      </c>
      <c r="F53" s="10">
        <f t="shared" si="12"/>
        <v>2.1409295352323839E-2</v>
      </c>
      <c r="G53" s="11">
        <f t="shared" si="13"/>
        <v>47.6</v>
      </c>
      <c r="H53" s="10">
        <f t="shared" si="22"/>
        <v>0.39157083860660935</v>
      </c>
      <c r="I53" s="12">
        <f t="shared" si="23"/>
        <v>862.5</v>
      </c>
      <c r="J53" s="13">
        <f t="shared" si="14"/>
        <v>66079.99740755785</v>
      </c>
      <c r="K53" s="12">
        <f t="shared" si="15"/>
        <v>1794.7250649391556</v>
      </c>
      <c r="L53" s="8">
        <f t="shared" si="16"/>
        <v>73120.462437665861</v>
      </c>
      <c r="M53" s="14">
        <f t="shared" si="17"/>
        <v>9.6258807161407209E-2</v>
      </c>
      <c r="N53" s="14">
        <f t="shared" si="18"/>
        <v>0.05</v>
      </c>
      <c r="O53" s="15">
        <f t="shared" si="19"/>
        <v>65969.864078545244</v>
      </c>
      <c r="P53" s="8">
        <f t="shared" si="20"/>
        <v>110.13332901260583</v>
      </c>
      <c r="Q53" s="16">
        <f t="shared" si="21"/>
        <v>68062.397329784581</v>
      </c>
    </row>
    <row r="54" spans="2:17" ht="17.100000000000001" customHeight="1" x14ac:dyDescent="0.3">
      <c r="B54" s="7" t="s">
        <v>50</v>
      </c>
      <c r="C54" s="7" t="s">
        <v>45</v>
      </c>
      <c r="D54" s="8">
        <f>$C$11+1750</f>
        <v>66750</v>
      </c>
      <c r="E54" s="9">
        <v>60</v>
      </c>
      <c r="F54" s="10">
        <f t="shared" si="12"/>
        <v>2.2157303370786516E-2</v>
      </c>
      <c r="G54" s="11">
        <f t="shared" si="13"/>
        <v>49.3</v>
      </c>
      <c r="H54" s="10">
        <f t="shared" si="22"/>
        <v>0.41372814197739588</v>
      </c>
      <c r="I54" s="12">
        <f t="shared" si="23"/>
        <v>911.8</v>
      </c>
      <c r="J54" s="13">
        <f t="shared" si="14"/>
        <v>66115.879546561016</v>
      </c>
      <c r="K54" s="12">
        <f t="shared" si="15"/>
        <v>1725.8465230088257</v>
      </c>
      <c r="L54" s="8">
        <f t="shared" si="16"/>
        <v>72761.50576363111</v>
      </c>
      <c r="M54" s="14">
        <f t="shared" si="17"/>
        <v>9.006001144016644E-2</v>
      </c>
      <c r="N54" s="14">
        <f t="shared" si="18"/>
        <v>0.05</v>
      </c>
      <c r="O54" s="15">
        <f t="shared" si="19"/>
        <v>66005.686413983407</v>
      </c>
      <c r="P54" s="8">
        <f t="shared" si="20"/>
        <v>110.1931325776095</v>
      </c>
      <c r="Q54" s="16">
        <f t="shared" si="21"/>
        <v>68099.355932957842</v>
      </c>
    </row>
    <row r="55" spans="2:17" ht="17.100000000000001" customHeight="1" x14ac:dyDescent="0.3">
      <c r="B55" s="7" t="s">
        <v>50</v>
      </c>
      <c r="C55" s="7" t="s">
        <v>46</v>
      </c>
      <c r="D55" s="8">
        <f>$C$11+1800</f>
        <v>66800</v>
      </c>
      <c r="E55" s="9">
        <v>62</v>
      </c>
      <c r="F55" s="10">
        <f t="shared" si="12"/>
        <v>2.2859281437125747E-2</v>
      </c>
      <c r="G55" s="11">
        <f t="shared" si="13"/>
        <v>50.9</v>
      </c>
      <c r="H55" s="10">
        <f t="shared" si="22"/>
        <v>0.43658742341452161</v>
      </c>
      <c r="I55" s="12">
        <f t="shared" si="23"/>
        <v>962.69999999999993</v>
      </c>
      <c r="J55" s="13">
        <f t="shared" si="14"/>
        <v>66151.699410220273</v>
      </c>
      <c r="K55" s="12">
        <f t="shared" si="15"/>
        <v>1654.2601159099545</v>
      </c>
      <c r="L55" s="8">
        <f t="shared" si="16"/>
        <v>72431.966374154319</v>
      </c>
      <c r="M55" s="14">
        <f t="shared" si="17"/>
        <v>8.431087386458562E-2</v>
      </c>
      <c r="N55" s="14">
        <f t="shared" si="18"/>
        <v>0.05</v>
      </c>
      <c r="O55" s="15">
        <f t="shared" si="19"/>
        <v>66041.446577869909</v>
      </c>
      <c r="P55" s="8">
        <f t="shared" si="20"/>
        <v>110.25283235036477</v>
      </c>
      <c r="Q55" s="16">
        <f t="shared" si="21"/>
        <v>68136.250392526883</v>
      </c>
    </row>
    <row r="56" spans="2:17" ht="17.100000000000001" customHeight="1" x14ac:dyDescent="0.3">
      <c r="B56" s="7" t="s">
        <v>50</v>
      </c>
      <c r="C56" s="7" t="s">
        <v>47</v>
      </c>
      <c r="D56" s="8">
        <f>$C$11+1850</f>
        <v>66850</v>
      </c>
      <c r="E56" s="9">
        <v>64</v>
      </c>
      <c r="F56" s="10">
        <f t="shared" si="12"/>
        <v>2.3605086013462978E-2</v>
      </c>
      <c r="G56" s="11">
        <f t="shared" si="13"/>
        <v>52.6</v>
      </c>
      <c r="H56" s="10">
        <f t="shared" si="22"/>
        <v>0.46019250942798462</v>
      </c>
      <c r="I56" s="12">
        <f t="shared" si="23"/>
        <v>1015.3</v>
      </c>
      <c r="J56" s="13">
        <f t="shared" si="14"/>
        <v>66187.517997327421</v>
      </c>
      <c r="K56" s="12">
        <f t="shared" si="15"/>
        <v>1579.830744739229</v>
      </c>
      <c r="L56" s="8">
        <f t="shared" si="16"/>
        <v>72128.585637191951</v>
      </c>
      <c r="M56" s="14">
        <f t="shared" si="17"/>
        <v>7.8961640047747958E-2</v>
      </c>
      <c r="N56" s="14">
        <f t="shared" si="18"/>
        <v>0.05</v>
      </c>
      <c r="O56" s="15">
        <f t="shared" si="19"/>
        <v>66077.205467331878</v>
      </c>
      <c r="P56" s="8">
        <f t="shared" si="20"/>
        <v>110.31252999554272</v>
      </c>
      <c r="Q56" s="16">
        <f t="shared" si="21"/>
        <v>68173.143537247248</v>
      </c>
    </row>
    <row r="57" spans="2:17" ht="17.100000000000001" customHeight="1" x14ac:dyDescent="0.3">
      <c r="B57" s="7" t="s">
        <v>50</v>
      </c>
      <c r="C57" s="7" t="s">
        <v>48</v>
      </c>
      <c r="D57" s="8">
        <f>$C$11+1900</f>
        <v>66900</v>
      </c>
      <c r="E57" s="9">
        <v>66</v>
      </c>
      <c r="F57" s="10">
        <f t="shared" si="12"/>
        <v>2.430493273542601E-2</v>
      </c>
      <c r="G57" s="11">
        <f t="shared" si="13"/>
        <v>54.2</v>
      </c>
      <c r="H57" s="10">
        <f t="shared" si="22"/>
        <v>0.48449744216341062</v>
      </c>
      <c r="I57" s="12">
        <f t="shared" si="23"/>
        <v>1069.5</v>
      </c>
      <c r="J57" s="13">
        <f t="shared" si="14"/>
        <v>66223.259831325209</v>
      </c>
      <c r="K57" s="12">
        <f t="shared" si="15"/>
        <v>1502.6211192678288</v>
      </c>
      <c r="L57" s="8">
        <f t="shared" si="16"/>
        <v>71849.595568950099</v>
      </c>
      <c r="M57" s="14">
        <f t="shared" si="17"/>
        <v>7.3984986082961113E-2</v>
      </c>
      <c r="N57" s="14">
        <f t="shared" si="18"/>
        <v>0.05</v>
      </c>
      <c r="O57" s="15">
        <f t="shared" si="19"/>
        <v>66112.88773160633</v>
      </c>
      <c r="P57" s="8">
        <f t="shared" si="20"/>
        <v>110.37209971887933</v>
      </c>
      <c r="Q57" s="16">
        <f t="shared" si="21"/>
        <v>68209.957626264964</v>
      </c>
    </row>
    <row r="58" spans="2:17" ht="17.100000000000001" customHeight="1" x14ac:dyDescent="0.3">
      <c r="B58" s="7" t="s">
        <v>50</v>
      </c>
      <c r="C58" s="7" t="s">
        <v>49</v>
      </c>
      <c r="D58" s="8">
        <f>$C$11+1950</f>
        <v>66950</v>
      </c>
      <c r="E58" s="9">
        <v>68</v>
      </c>
      <c r="F58" s="10">
        <f t="shared" si="12"/>
        <v>2.5048543689320388E-2</v>
      </c>
      <c r="G58" s="11">
        <f t="shared" si="13"/>
        <v>55.9</v>
      </c>
      <c r="H58" s="10">
        <f t="shared" si="22"/>
        <v>0.50954598585273103</v>
      </c>
      <c r="I58" s="12">
        <f t="shared" si="23"/>
        <v>1125.4000000000001</v>
      </c>
      <c r="J58" s="13">
        <f t="shared" si="14"/>
        <v>66258.985326906084</v>
      </c>
      <c r="K58" s="12">
        <f t="shared" si="15"/>
        <v>1422.4962471596577</v>
      </c>
      <c r="L58" s="8">
        <f t="shared" si="16"/>
        <v>71592.364581188347</v>
      </c>
      <c r="M58" s="14">
        <f t="shared" si="17"/>
        <v>6.9340770443440586E-2</v>
      </c>
      <c r="N58" s="14">
        <f t="shared" si="18"/>
        <v>0.05</v>
      </c>
      <c r="O58" s="15">
        <f t="shared" si="19"/>
        <v>66148.553684694576</v>
      </c>
      <c r="P58" s="8">
        <f t="shared" si="20"/>
        <v>110.43164221150801</v>
      </c>
      <c r="Q58" s="16">
        <f t="shared" si="21"/>
        <v>68246.754886713272</v>
      </c>
    </row>
    <row r="59" spans="2:17" ht="17.100000000000001" customHeight="1" x14ac:dyDescent="0.3">
      <c r="B59" s="7" t="s">
        <v>51</v>
      </c>
      <c r="C59" s="7" t="s">
        <v>30</v>
      </c>
      <c r="D59" s="8">
        <f>$C$11+2000</f>
        <v>67000</v>
      </c>
      <c r="E59" s="9">
        <v>70</v>
      </c>
      <c r="F59" s="10">
        <f t="shared" si="12"/>
        <v>2.5746268656716417E-2</v>
      </c>
      <c r="G59" s="11">
        <f t="shared" si="13"/>
        <v>57.5</v>
      </c>
      <c r="H59" s="10">
        <f t="shared" si="22"/>
        <v>0.5352922545094474</v>
      </c>
      <c r="I59" s="12">
        <f t="shared" si="23"/>
        <v>1182.9000000000001</v>
      </c>
      <c r="J59" s="13">
        <f t="shared" si="14"/>
        <v>66294.626348593447</v>
      </c>
      <c r="K59" s="12">
        <f t="shared" si="15"/>
        <v>1339.518947867025</v>
      </c>
      <c r="L59" s="8">
        <f t="shared" si="16"/>
        <v>71355.4503707533</v>
      </c>
      <c r="M59" s="14">
        <f t="shared" si="17"/>
        <v>6.5006721951541793E-2</v>
      </c>
      <c r="N59" s="14">
        <f t="shared" si="18"/>
        <v>0.02</v>
      </c>
      <c r="O59" s="15">
        <f t="shared" si="19"/>
        <v>66250.429931027713</v>
      </c>
      <c r="P59" s="8">
        <f t="shared" si="20"/>
        <v>44.196417565734009</v>
      </c>
      <c r="Q59" s="16">
        <f t="shared" si="21"/>
        <v>68283.465139051259</v>
      </c>
    </row>
    <row r="60" spans="2:17" ht="17.100000000000001" customHeight="1" x14ac:dyDescent="0.3">
      <c r="B60" s="7" t="s">
        <v>51</v>
      </c>
      <c r="C60" s="7" t="s">
        <v>31</v>
      </c>
      <c r="D60" s="8">
        <f>$C$11+2050</f>
        <v>67050</v>
      </c>
      <c r="E60" s="9">
        <v>74</v>
      </c>
      <c r="F60" s="10">
        <f t="shared" si="12"/>
        <v>2.7203579418344517E-2</v>
      </c>
      <c r="G60" s="11">
        <f t="shared" si="13"/>
        <v>60.8</v>
      </c>
      <c r="H60" s="10">
        <f t="shared" si="22"/>
        <v>0.5624958339277919</v>
      </c>
      <c r="I60" s="12">
        <f t="shared" si="23"/>
        <v>1243.7</v>
      </c>
      <c r="J60" s="13">
        <f t="shared" si="14"/>
        <v>66331.15793847754</v>
      </c>
      <c r="K60" s="12">
        <f t="shared" si="15"/>
        <v>1251.9543351415505</v>
      </c>
      <c r="L60" s="8">
        <f t="shared" si="16"/>
        <v>71131.096197181949</v>
      </c>
      <c r="M60" s="14">
        <f t="shared" si="17"/>
        <v>6.0866460808082758E-2</v>
      </c>
      <c r="N60" s="14">
        <f t="shared" si="18"/>
        <v>0.02</v>
      </c>
      <c r="O60" s="15">
        <f t="shared" si="19"/>
        <v>66286.937166518546</v>
      </c>
      <c r="P60" s="8">
        <f t="shared" si="20"/>
        <v>44.220771958993282</v>
      </c>
      <c r="Q60" s="16">
        <f t="shared" si="21"/>
        <v>68321.092676631873</v>
      </c>
    </row>
    <row r="61" spans="2:17" ht="17.100000000000001" customHeight="1" x14ac:dyDescent="0.3">
      <c r="B61" s="7" t="s">
        <v>51</v>
      </c>
      <c r="C61" s="7" t="s">
        <v>32</v>
      </c>
      <c r="D61" s="8">
        <f>$C$11+2100</f>
        <v>67100</v>
      </c>
      <c r="E61" s="9">
        <v>78</v>
      </c>
      <c r="F61" s="10">
        <f t="shared" si="12"/>
        <v>2.8658718330849476E-2</v>
      </c>
      <c r="G61" s="11">
        <f t="shared" si="13"/>
        <v>64.099999999999994</v>
      </c>
      <c r="H61" s="10">
        <f t="shared" si="22"/>
        <v>0.59115455225864133</v>
      </c>
      <c r="I61" s="12">
        <f t="shared" si="23"/>
        <v>1307.8</v>
      </c>
      <c r="J61" s="13">
        <f t="shared" si="14"/>
        <v>66368.430810686506</v>
      </c>
      <c r="K61" s="12">
        <f t="shared" si="15"/>
        <v>1159.7295434451646</v>
      </c>
      <c r="L61" s="8">
        <f t="shared" si="16"/>
        <v>70919.487889031821</v>
      </c>
      <c r="M61" s="14">
        <f t="shared" si="17"/>
        <v>5.6922323234453377E-2</v>
      </c>
      <c r="N61" s="14">
        <f t="shared" si="18"/>
        <v>0.02</v>
      </c>
      <c r="O61" s="15">
        <f t="shared" si="19"/>
        <v>66324.185190146047</v>
      </c>
      <c r="P61" s="8">
        <f t="shared" si="20"/>
        <v>44.24562054045964</v>
      </c>
      <c r="Q61" s="16">
        <f t="shared" si="21"/>
        <v>68359.483735007103</v>
      </c>
    </row>
    <row r="62" spans="2:17" ht="17.100000000000001" customHeight="1" x14ac:dyDescent="0.3">
      <c r="B62" s="7" t="s">
        <v>51</v>
      </c>
      <c r="C62" s="7" t="s">
        <v>33</v>
      </c>
      <c r="D62" s="8">
        <f>$C$11+2150</f>
        <v>67150</v>
      </c>
      <c r="E62" s="9">
        <v>82</v>
      </c>
      <c r="F62" s="10">
        <f t="shared" si="12"/>
        <v>3.0111690245718543E-2</v>
      </c>
      <c r="G62" s="11">
        <f t="shared" si="13"/>
        <v>67.400000000000006</v>
      </c>
      <c r="H62" s="10">
        <f t="shared" si="22"/>
        <v>0.62126624250435991</v>
      </c>
      <c r="I62" s="12">
        <f t="shared" si="23"/>
        <v>1375.2</v>
      </c>
      <c r="J62" s="13">
        <f t="shared" si="14"/>
        <v>66406.312104927347</v>
      </c>
      <c r="K62" s="12">
        <f t="shared" si="15"/>
        <v>1062.7718158322359</v>
      </c>
      <c r="L62" s="8">
        <f t="shared" si="16"/>
        <v>70720.595136234013</v>
      </c>
      <c r="M62" s="14">
        <f t="shared" si="17"/>
        <v>5.3173419750320368E-2</v>
      </c>
      <c r="N62" s="14">
        <f t="shared" si="18"/>
        <v>0.02</v>
      </c>
      <c r="O62" s="15">
        <f t="shared" si="19"/>
        <v>66362.04123019072</v>
      </c>
      <c r="P62" s="8">
        <f t="shared" si="20"/>
        <v>44.270874736626865</v>
      </c>
      <c r="Q62" s="16">
        <f t="shared" si="21"/>
        <v>68398.501468075163</v>
      </c>
    </row>
    <row r="63" spans="2:17" ht="17.100000000000001" customHeight="1" x14ac:dyDescent="0.3">
      <c r="B63" s="7" t="s">
        <v>51</v>
      </c>
      <c r="C63" s="7" t="s">
        <v>34</v>
      </c>
      <c r="D63" s="8">
        <f>$C$11+2200</f>
        <v>67200</v>
      </c>
      <c r="E63" s="9">
        <v>86</v>
      </c>
      <c r="F63" s="10">
        <f t="shared" si="12"/>
        <v>3.15625E-2</v>
      </c>
      <c r="G63" s="11">
        <f t="shared" si="13"/>
        <v>70.7</v>
      </c>
      <c r="H63" s="10">
        <f t="shared" si="22"/>
        <v>0.65282874250435996</v>
      </c>
      <c r="I63" s="12">
        <f t="shared" si="23"/>
        <v>1445.9</v>
      </c>
      <c r="J63" s="13">
        <f t="shared" si="14"/>
        <v>66444.684763110447</v>
      </c>
      <c r="K63" s="12">
        <f t="shared" si="15"/>
        <v>961.00850370700994</v>
      </c>
      <c r="L63" s="8">
        <f t="shared" si="16"/>
        <v>70534.220035274731</v>
      </c>
      <c r="M63" s="14">
        <f t="shared" si="17"/>
        <v>4.9616369572540647E-2</v>
      </c>
      <c r="N63" s="14">
        <f t="shared" si="18"/>
        <v>0.02</v>
      </c>
      <c r="O63" s="15">
        <f t="shared" si="19"/>
        <v>66400.388306601701</v>
      </c>
      <c r="P63" s="8">
        <f t="shared" si="20"/>
        <v>44.296456508745905</v>
      </c>
      <c r="Q63" s="16">
        <f t="shared" si="21"/>
        <v>68438.025306003765</v>
      </c>
    </row>
    <row r="64" spans="2:17" ht="17.100000000000001" customHeight="1" x14ac:dyDescent="0.3">
      <c r="B64" s="7" t="s">
        <v>51</v>
      </c>
      <c r="C64" s="7" t="s">
        <v>35</v>
      </c>
      <c r="D64" s="8">
        <f>$C$11+2250</f>
        <v>67250</v>
      </c>
      <c r="E64" s="9">
        <v>90</v>
      </c>
      <c r="F64" s="10">
        <f t="shared" si="12"/>
        <v>3.2966542750929369E-2</v>
      </c>
      <c r="G64" s="11">
        <f t="shared" si="13"/>
        <v>73.900000000000006</v>
      </c>
      <c r="H64" s="10">
        <f t="shared" si="22"/>
        <v>0.68579528525528932</v>
      </c>
      <c r="I64" s="12">
        <f t="shared" si="23"/>
        <v>1519.8000000000002</v>
      </c>
      <c r="J64" s="13">
        <f t="shared" si="14"/>
        <v>66483.396693267598</v>
      </c>
      <c r="K64" s="12">
        <f t="shared" si="15"/>
        <v>854.46706658180381</v>
      </c>
      <c r="L64" s="8">
        <f t="shared" si="16"/>
        <v>70360.262538762938</v>
      </c>
      <c r="M64" s="14">
        <f t="shared" si="17"/>
        <v>4.6249257081976768E-2</v>
      </c>
      <c r="N64" s="14">
        <f t="shared" si="18"/>
        <v>0.02</v>
      </c>
      <c r="O64" s="15">
        <f t="shared" si="19"/>
        <v>66439.074428805412</v>
      </c>
      <c r="P64" s="8">
        <f t="shared" si="20"/>
        <v>44.322264462185558</v>
      </c>
      <c r="Q64" s="16">
        <f t="shared" si="21"/>
        <v>68477.898594065628</v>
      </c>
    </row>
    <row r="65" spans="2:17" ht="17.100000000000001" customHeight="1" x14ac:dyDescent="0.3">
      <c r="B65" s="7" t="s">
        <v>51</v>
      </c>
      <c r="C65" s="7" t="s">
        <v>36</v>
      </c>
      <c r="D65" s="8">
        <f>$C$11+2300</f>
        <v>67300</v>
      </c>
      <c r="E65" s="9">
        <v>94</v>
      </c>
      <c r="F65" s="10">
        <f t="shared" si="12"/>
        <v>3.4413075780089154E-2</v>
      </c>
      <c r="G65" s="11">
        <f t="shared" si="13"/>
        <v>77.2</v>
      </c>
      <c r="H65" s="10">
        <f t="shared" si="22"/>
        <v>0.72020836103537844</v>
      </c>
      <c r="I65" s="12">
        <f t="shared" si="23"/>
        <v>1597.0000000000002</v>
      </c>
      <c r="J65" s="13">
        <f t="shared" si="14"/>
        <v>66522.415723033439</v>
      </c>
      <c r="K65" s="12">
        <f t="shared" si="15"/>
        <v>742.97730231903279</v>
      </c>
      <c r="L65" s="8">
        <f t="shared" si="16"/>
        <v>70198.038047859824</v>
      </c>
      <c r="M65" s="14">
        <f t="shared" si="17"/>
        <v>4.3061486595242553E-2</v>
      </c>
      <c r="N65" s="14">
        <f t="shared" si="18"/>
        <v>0.02</v>
      </c>
      <c r="O65" s="15">
        <f t="shared" si="19"/>
        <v>66478.06744588475</v>
      </c>
      <c r="P65" s="8">
        <f t="shared" si="20"/>
        <v>44.348277148688794</v>
      </c>
      <c r="Q65" s="16">
        <f t="shared" si="21"/>
        <v>68518.088194724449</v>
      </c>
    </row>
    <row r="66" spans="2:17" ht="17.100000000000001" customHeight="1" x14ac:dyDescent="0.3">
      <c r="B66" s="7" t="s">
        <v>51</v>
      </c>
      <c r="C66" s="7" t="s">
        <v>37</v>
      </c>
      <c r="D66" s="8">
        <f>$C$11+2350</f>
        <v>67350</v>
      </c>
      <c r="E66" s="9">
        <v>98</v>
      </c>
      <c r="F66" s="10">
        <f t="shared" si="12"/>
        <v>3.5857461024498889E-2</v>
      </c>
      <c r="G66" s="11">
        <f t="shared" si="13"/>
        <v>80.5</v>
      </c>
      <c r="H66" s="10">
        <f t="shared" si="22"/>
        <v>0.75606582205987738</v>
      </c>
      <c r="I66" s="12">
        <f t="shared" si="23"/>
        <v>1677.5000000000002</v>
      </c>
      <c r="J66" s="13">
        <f t="shared" si="14"/>
        <v>66561.665045103</v>
      </c>
      <c r="K66" s="12">
        <f t="shared" si="15"/>
        <v>626.46688426726314</v>
      </c>
      <c r="L66" s="8">
        <f t="shared" si="16"/>
        <v>70047.074553227052</v>
      </c>
      <c r="M66" s="14">
        <f t="shared" si="17"/>
        <v>4.0045650381990379E-2</v>
      </c>
      <c r="N66" s="14">
        <f t="shared" si="18"/>
        <v>0.02</v>
      </c>
      <c r="O66" s="15">
        <f t="shared" si="19"/>
        <v>66517.290601739602</v>
      </c>
      <c r="P66" s="8">
        <f t="shared" si="20"/>
        <v>44.374443363398314</v>
      </c>
      <c r="Q66" s="16">
        <f t="shared" si="21"/>
        <v>68558.514996456099</v>
      </c>
    </row>
    <row r="67" spans="2:17" ht="17.100000000000001" customHeight="1" x14ac:dyDescent="0.3">
      <c r="B67" s="7" t="s">
        <v>51</v>
      </c>
      <c r="C67" s="7" t="s">
        <v>38</v>
      </c>
      <c r="D67" s="8">
        <f>$C$11+2400</f>
        <v>67400</v>
      </c>
      <c r="E67" s="9">
        <v>102</v>
      </c>
      <c r="F67" s="10">
        <f t="shared" si="12"/>
        <v>3.7299703264094958E-2</v>
      </c>
      <c r="G67" s="11">
        <f t="shared" si="13"/>
        <v>83.8</v>
      </c>
      <c r="H67" s="10">
        <f t="shared" si="22"/>
        <v>0.79336552532397231</v>
      </c>
      <c r="I67" s="12">
        <f t="shared" si="23"/>
        <v>1761.3000000000002</v>
      </c>
      <c r="J67" s="13">
        <f t="shared" si="14"/>
        <v>66601.078964734581</v>
      </c>
      <c r="K67" s="12">
        <f t="shared" si="15"/>
        <v>504.86359316427888</v>
      </c>
      <c r="L67" s="8">
        <f t="shared" si="16"/>
        <v>69906.85853111741</v>
      </c>
      <c r="M67" s="14">
        <f t="shared" si="17"/>
        <v>3.7193746752483832E-2</v>
      </c>
      <c r="N67" s="14">
        <f t="shared" si="18"/>
        <v>0.02</v>
      </c>
      <c r="O67" s="15">
        <f t="shared" si="19"/>
        <v>66556.678245424759</v>
      </c>
      <c r="P67" s="8">
        <f t="shared" si="20"/>
        <v>44.400719309822307</v>
      </c>
      <c r="Q67" s="16">
        <f t="shared" si="21"/>
        <v>68599.111333676614</v>
      </c>
    </row>
    <row r="68" spans="2:17" ht="17.100000000000001" customHeight="1" x14ac:dyDescent="0.3">
      <c r="B68" s="7" t="s">
        <v>51</v>
      </c>
      <c r="C68" s="7" t="s">
        <v>39</v>
      </c>
      <c r="D68" s="8">
        <f>$C$11+2450</f>
        <v>67450</v>
      </c>
      <c r="E68" s="9">
        <v>106</v>
      </c>
      <c r="F68" s="10">
        <f t="shared" si="12"/>
        <v>3.8739807264640477E-2</v>
      </c>
      <c r="G68" s="11">
        <f t="shared" si="13"/>
        <v>87.1</v>
      </c>
      <c r="H68" s="10">
        <f t="shared" si="22"/>
        <v>0.83210533258861274</v>
      </c>
      <c r="I68" s="12">
        <f t="shared" si="23"/>
        <v>1848.4</v>
      </c>
      <c r="J68" s="13">
        <f t="shared" si="14"/>
        <v>66640.601650146011</v>
      </c>
      <c r="K68" s="12">
        <f t="shared" si="15"/>
        <v>378.09531689807193</v>
      </c>
      <c r="L68" s="8">
        <f t="shared" si="16"/>
        <v>69776.853083807684</v>
      </c>
      <c r="M68" s="14">
        <f t="shared" si="17"/>
        <v>3.449745120545121E-2</v>
      </c>
      <c r="N68" s="14">
        <f t="shared" si="18"/>
        <v>0.02</v>
      </c>
      <c r="O68" s="15">
        <f t="shared" si="19"/>
        <v>66596.174582379244</v>
      </c>
      <c r="P68" s="8">
        <f t="shared" si="20"/>
        <v>44.427067766766413</v>
      </c>
      <c r="Q68" s="16">
        <f t="shared" si="21"/>
        <v>68639.819699650398</v>
      </c>
    </row>
    <row r="69" spans="2:17" ht="17.100000000000001" customHeight="1" x14ac:dyDescent="0.3">
      <c r="B69" s="7" t="s">
        <v>51</v>
      </c>
      <c r="C69" s="7" t="s">
        <v>40</v>
      </c>
      <c r="D69" s="8">
        <f>$C$11+2500</f>
        <v>67500</v>
      </c>
      <c r="E69" s="9">
        <v>110</v>
      </c>
      <c r="F69" s="10">
        <f t="shared" si="12"/>
        <v>4.0177777777777778E-2</v>
      </c>
      <c r="G69" s="11">
        <f t="shared" si="13"/>
        <v>90.4</v>
      </c>
      <c r="H69" s="10">
        <f t="shared" si="22"/>
        <v>0.8722831103663905</v>
      </c>
      <c r="I69" s="12">
        <f t="shared" si="23"/>
        <v>1938.8000000000002</v>
      </c>
      <c r="J69" s="13">
        <f t="shared" si="14"/>
        <v>66680.185949684412</v>
      </c>
      <c r="K69" s="12">
        <f t="shared" si="15"/>
        <v>246.09005026864997</v>
      </c>
      <c r="L69" s="8">
        <f t="shared" si="16"/>
        <v>69656.512069176315</v>
      </c>
      <c r="M69" s="14">
        <f t="shared" si="17"/>
        <v>3.194832695076022E-2</v>
      </c>
      <c r="N69" s="14">
        <f t="shared" si="18"/>
        <v>0.02</v>
      </c>
      <c r="O69" s="15">
        <f t="shared" si="19"/>
        <v>66635.732492384617</v>
      </c>
      <c r="P69" s="8">
        <f t="shared" si="20"/>
        <v>44.453457299794536</v>
      </c>
      <c r="Q69" s="16">
        <f t="shared" si="21"/>
        <v>68680.591528174948</v>
      </c>
    </row>
    <row r="70" spans="2:17" ht="17.100000000000001" customHeight="1" x14ac:dyDescent="0.3">
      <c r="B70" s="7" t="s">
        <v>51</v>
      </c>
      <c r="C70" s="7" t="s">
        <v>41</v>
      </c>
      <c r="D70" s="8">
        <f>$C$11+2550</f>
        <v>67550</v>
      </c>
      <c r="E70" s="9">
        <v>114</v>
      </c>
      <c r="F70" s="10">
        <f t="shared" si="12"/>
        <v>4.1613619541080678E-2</v>
      </c>
      <c r="G70" s="11">
        <f t="shared" si="13"/>
        <v>93.7</v>
      </c>
      <c r="H70" s="10">
        <f t="shared" si="22"/>
        <v>0.91389672990747117</v>
      </c>
      <c r="I70" s="12">
        <f t="shared" si="23"/>
        <v>2032.5000000000002</v>
      </c>
      <c r="J70" s="13">
        <f t="shared" si="14"/>
        <v>66719.79229663455</v>
      </c>
      <c r="K70" s="12">
        <f t="shared" si="15"/>
        <v>108.77589475032357</v>
      </c>
      <c r="L70" s="8">
        <f t="shared" si="16"/>
        <v>69545.290896032864</v>
      </c>
      <c r="M70" s="14">
        <f t="shared" si="17"/>
        <v>2.9537985137422118E-2</v>
      </c>
      <c r="N70" s="14">
        <f t="shared" si="18"/>
        <v>0.02</v>
      </c>
      <c r="O70" s="15">
        <f t="shared" si="19"/>
        <v>66675.312435103464</v>
      </c>
      <c r="P70" s="8">
        <f t="shared" si="20"/>
        <v>44.479861531086499</v>
      </c>
      <c r="Q70" s="16">
        <f t="shared" si="21"/>
        <v>68721.386065533588</v>
      </c>
    </row>
    <row r="71" spans="2:17" ht="17.100000000000001" customHeight="1" x14ac:dyDescent="0.3">
      <c r="B71" s="7" t="s">
        <v>51</v>
      </c>
      <c r="C71" s="7" t="s">
        <v>42</v>
      </c>
      <c r="D71" s="8">
        <f>$C$11+2600</f>
        <v>67600</v>
      </c>
      <c r="E71" s="9">
        <v>118</v>
      </c>
      <c r="F71" s="10">
        <f t="shared" si="12"/>
        <v>4.3002958579881657E-2</v>
      </c>
      <c r="G71" s="11">
        <f t="shared" si="13"/>
        <v>96.9</v>
      </c>
      <c r="H71" s="10">
        <f t="shared" si="22"/>
        <v>0.95689968848735285</v>
      </c>
      <c r="I71" s="12">
        <f t="shared" si="23"/>
        <v>2129.4</v>
      </c>
      <c r="J71" s="13">
        <f t="shared" si="14"/>
        <v>66759.348726493306</v>
      </c>
      <c r="K71" s="12">
        <f t="shared" si="15"/>
        <v>-33.818941745051575</v>
      </c>
      <c r="L71" s="8">
        <f t="shared" si="16"/>
        <v>69442.755644349192</v>
      </c>
      <c r="M71" s="14">
        <f t="shared" si="17"/>
        <v>2.7259698880905209E-2</v>
      </c>
      <c r="N71" s="14">
        <f t="shared" si="18"/>
        <v>0.02</v>
      </c>
      <c r="O71" s="15">
        <f t="shared" si="19"/>
        <v>66714.842494008975</v>
      </c>
      <c r="P71" s="8">
        <f t="shared" si="20"/>
        <v>44.506232484331122</v>
      </c>
      <c r="Q71" s="16">
        <f t="shared" si="21"/>
        <v>68762.129188288105</v>
      </c>
    </row>
    <row r="72" spans="2:17" ht="17.100000000000001" customHeight="1" x14ac:dyDescent="0.3">
      <c r="B72" s="7" t="s">
        <v>51</v>
      </c>
      <c r="C72" s="7" t="s">
        <v>43</v>
      </c>
      <c r="D72" s="8">
        <f>$C$11+2650</f>
        <v>67650</v>
      </c>
      <c r="E72" s="9">
        <v>122</v>
      </c>
      <c r="F72" s="10">
        <f t="shared" si="12"/>
        <v>4.4434589800443458E-2</v>
      </c>
      <c r="G72" s="11">
        <f t="shared" si="13"/>
        <v>100.2</v>
      </c>
      <c r="H72" s="10">
        <f t="shared" si="22"/>
        <v>1.0013342782877963</v>
      </c>
      <c r="I72" s="12">
        <f t="shared" si="23"/>
        <v>2229.6</v>
      </c>
      <c r="J72" s="13">
        <f t="shared" si="14"/>
        <v>66798.871715820293</v>
      </c>
      <c r="K72" s="12">
        <f t="shared" si="15"/>
        <v>-181.8639261694176</v>
      </c>
      <c r="L72" s="8">
        <f t="shared" si="16"/>
        <v>69348.266134101446</v>
      </c>
      <c r="M72" s="14">
        <f t="shared" si="17"/>
        <v>2.5103712255749391E-2</v>
      </c>
      <c r="N72" s="14">
        <f t="shared" si="18"/>
        <v>0.02</v>
      </c>
      <c r="O72" s="15">
        <f t="shared" si="19"/>
        <v>66754.339134676411</v>
      </c>
      <c r="P72" s="8">
        <f t="shared" si="20"/>
        <v>44.532581143881544</v>
      </c>
      <c r="Q72" s="16">
        <f t="shared" si="21"/>
        <v>68802.837867294904</v>
      </c>
    </row>
    <row r="73" spans="2:17" ht="17.100000000000001" customHeight="1" x14ac:dyDescent="0.3">
      <c r="B73" s="7" t="s">
        <v>51</v>
      </c>
      <c r="C73" s="7" t="s">
        <v>44</v>
      </c>
      <c r="D73" s="8">
        <f>$C$11+2700</f>
        <v>67700</v>
      </c>
      <c r="E73" s="9">
        <v>126</v>
      </c>
      <c r="F73" s="10">
        <f t="shared" si="12"/>
        <v>4.5864106351550957E-2</v>
      </c>
      <c r="G73" s="11">
        <f t="shared" si="13"/>
        <v>103.5</v>
      </c>
      <c r="H73" s="10">
        <f t="shared" si="22"/>
        <v>1.0471983846393473</v>
      </c>
      <c r="I73" s="12">
        <f t="shared" si="23"/>
        <v>2333.1</v>
      </c>
      <c r="J73" s="13">
        <f t="shared" si="14"/>
        <v>66838.338395742874</v>
      </c>
      <c r="K73" s="12">
        <f t="shared" si="15"/>
        <v>-335.43064008381066</v>
      </c>
      <c r="L73" s="8">
        <f t="shared" si="16"/>
        <v>69261.325573650276</v>
      </c>
      <c r="M73" s="14">
        <f t="shared" si="17"/>
        <v>2.3062416154361536E-2</v>
      </c>
      <c r="N73" s="14">
        <f t="shared" si="18"/>
        <v>0.02</v>
      </c>
      <c r="O73" s="15">
        <f t="shared" si="19"/>
        <v>66793.779503479047</v>
      </c>
      <c r="P73" s="8">
        <f t="shared" si="20"/>
        <v>44.558892263827147</v>
      </c>
      <c r="Q73" s="16">
        <f t="shared" si="21"/>
        <v>68843.488547615168</v>
      </c>
    </row>
    <row r="74" spans="2:17" ht="17.100000000000001" customHeight="1" x14ac:dyDescent="0.3">
      <c r="B74" s="7" t="s">
        <v>51</v>
      </c>
      <c r="C74" s="7" t="s">
        <v>45</v>
      </c>
      <c r="D74" s="8">
        <f>$C$11+2750</f>
        <v>67750</v>
      </c>
      <c r="E74" s="9">
        <v>130</v>
      </c>
      <c r="F74" s="10">
        <f t="shared" si="12"/>
        <v>4.7291512915129154E-2</v>
      </c>
      <c r="G74" s="11">
        <f t="shared" si="13"/>
        <v>106.8</v>
      </c>
      <c r="H74" s="10">
        <f t="shared" si="22"/>
        <v>1.0944898975544766</v>
      </c>
      <c r="I74" s="12">
        <f t="shared" si="23"/>
        <v>2439.9</v>
      </c>
      <c r="J74" s="13">
        <f t="shared" si="14"/>
        <v>66877.730131224656</v>
      </c>
      <c r="K74" s="12">
        <f t="shared" si="15"/>
        <v>-494.59055931578268</v>
      </c>
      <c r="L74" s="8">
        <f t="shared" si="16"/>
        <v>69181.458987774939</v>
      </c>
      <c r="M74" s="14">
        <f t="shared" si="17"/>
        <v>2.1128545945017542E-2</v>
      </c>
      <c r="N74" s="14">
        <f t="shared" si="18"/>
        <v>0.02</v>
      </c>
      <c r="O74" s="15">
        <f t="shared" si="19"/>
        <v>66833.144977803837</v>
      </c>
      <c r="P74" s="8">
        <f t="shared" si="20"/>
        <v>44.585153420819552</v>
      </c>
      <c r="Q74" s="16">
        <f t="shared" si="21"/>
        <v>68884.062035161391</v>
      </c>
    </row>
    <row r="75" spans="2:17" ht="17.100000000000001" customHeight="1" x14ac:dyDescent="0.3">
      <c r="B75" s="7" t="s">
        <v>51</v>
      </c>
      <c r="C75" s="7" t="s">
        <v>46</v>
      </c>
      <c r="D75" s="8">
        <f>$C$11+2800</f>
        <v>67800</v>
      </c>
      <c r="E75" s="9">
        <v>134</v>
      </c>
      <c r="F75" s="10">
        <f t="shared" si="12"/>
        <v>4.8716814159292035E-2</v>
      </c>
      <c r="G75" s="11">
        <f t="shared" si="13"/>
        <v>110.1</v>
      </c>
      <c r="H75" s="10">
        <f t="shared" si="22"/>
        <v>1.1432067117137685</v>
      </c>
      <c r="I75" s="12">
        <f t="shared" si="23"/>
        <v>2550</v>
      </c>
      <c r="J75" s="13">
        <f t="shared" si="14"/>
        <v>66917.031903460127</v>
      </c>
      <c r="K75" s="12">
        <f t="shared" si="15"/>
        <v>-659.41505419351347</v>
      </c>
      <c r="L75" s="8">
        <f t="shared" si="16"/>
        <v>69108.214914118755</v>
      </c>
      <c r="M75" s="14">
        <f t="shared" si="17"/>
        <v>1.9295205222990483E-2</v>
      </c>
      <c r="N75" s="14">
        <f t="shared" si="18"/>
        <v>0.02</v>
      </c>
      <c r="O75" s="15">
        <f t="shared" si="19"/>
        <v>66872.420548857815</v>
      </c>
      <c r="P75" s="8">
        <f t="shared" si="20"/>
        <v>44.611354602311621</v>
      </c>
      <c r="Q75" s="16">
        <f t="shared" si="21"/>
        <v>68924.542860563932</v>
      </c>
    </row>
    <row r="76" spans="2:17" ht="17.100000000000001" customHeight="1" x14ac:dyDescent="0.3">
      <c r="B76" s="7" t="s">
        <v>51</v>
      </c>
      <c r="C76" s="7" t="s">
        <v>47</v>
      </c>
      <c r="D76" s="8">
        <f>$C$11+2850</f>
        <v>67850</v>
      </c>
      <c r="E76" s="9">
        <v>138</v>
      </c>
      <c r="F76" s="10">
        <f t="shared" si="12"/>
        <v>5.0140014738393517E-2</v>
      </c>
      <c r="G76" s="11">
        <f t="shared" si="13"/>
        <v>113.4</v>
      </c>
      <c r="H76" s="10">
        <f t="shared" si="22"/>
        <v>1.193346726452162</v>
      </c>
      <c r="I76" s="12">
        <f t="shared" si="23"/>
        <v>2663.4</v>
      </c>
      <c r="J76" s="13">
        <f t="shared" si="14"/>
        <v>66956.231771423103</v>
      </c>
      <c r="K76" s="12">
        <f t="shared" si="15"/>
        <v>-829.97538977918771</v>
      </c>
      <c r="L76" s="8">
        <f t="shared" si="16"/>
        <v>69041.166263715044</v>
      </c>
      <c r="M76" s="14">
        <f t="shared" si="17"/>
        <v>1.7555877136551865E-2</v>
      </c>
      <c r="N76" s="14">
        <f t="shared" si="18"/>
        <v>0.02</v>
      </c>
      <c r="O76" s="15">
        <f t="shared" si="19"/>
        <v>66911.594283575483</v>
      </c>
      <c r="P76" s="8">
        <f t="shared" si="20"/>
        <v>44.637487847619923</v>
      </c>
      <c r="Q76" s="16">
        <f t="shared" si="21"/>
        <v>68964.918724565796</v>
      </c>
    </row>
    <row r="77" spans="2:17" ht="17.100000000000001" customHeight="1" x14ac:dyDescent="0.3">
      <c r="B77" s="7" t="s">
        <v>51</v>
      </c>
      <c r="C77" s="7" t="s">
        <v>48</v>
      </c>
      <c r="D77" s="8">
        <f>$C$11+2900</f>
        <v>67900</v>
      </c>
      <c r="E77" s="9">
        <v>142</v>
      </c>
      <c r="F77" s="10">
        <f t="shared" si="12"/>
        <v>5.1561119293078057E-2</v>
      </c>
      <c r="G77" s="11">
        <f t="shared" si="13"/>
        <v>116.7</v>
      </c>
      <c r="H77" s="10">
        <f t="shared" si="22"/>
        <v>1.24490784574524</v>
      </c>
      <c r="I77" s="12">
        <f t="shared" si="23"/>
        <v>2780.1</v>
      </c>
      <c r="J77" s="13">
        <f t="shared" si="14"/>
        <v>66995.320404678147</v>
      </c>
      <c r="K77" s="12">
        <f t="shared" si="15"/>
        <v>-1006.3427261018039</v>
      </c>
      <c r="L77" s="8">
        <f t="shared" si="16"/>
        <v>68979.910548631364</v>
      </c>
      <c r="M77" s="14">
        <f t="shared" si="17"/>
        <v>1.590442634214085E-2</v>
      </c>
      <c r="N77" s="14">
        <f t="shared" si="18"/>
        <v>0.02</v>
      </c>
      <c r="O77" s="15">
        <f t="shared" si="19"/>
        <v>66950.656857741691</v>
      </c>
      <c r="P77" s="8">
        <f t="shared" si="20"/>
        <v>44.663546936455532</v>
      </c>
      <c r="Q77" s="16">
        <f t="shared" si="21"/>
        <v>69005.1800168185</v>
      </c>
    </row>
    <row r="78" spans="2:17" ht="17.100000000000001" customHeight="1" x14ac:dyDescent="0.3">
      <c r="B78" s="7" t="s">
        <v>51</v>
      </c>
      <c r="C78" s="7" t="s">
        <v>49</v>
      </c>
      <c r="D78" s="8">
        <f>$C$11+2950</f>
        <v>67950</v>
      </c>
      <c r="E78" s="9">
        <v>146</v>
      </c>
      <c r="F78" s="10">
        <f t="shared" si="12"/>
        <v>5.2935982339955848E-2</v>
      </c>
      <c r="G78" s="11">
        <f t="shared" si="13"/>
        <v>119.9</v>
      </c>
      <c r="H78" s="10">
        <f t="shared" si="22"/>
        <v>1.2978438280851958</v>
      </c>
      <c r="I78" s="12">
        <f t="shared" si="23"/>
        <v>2900</v>
      </c>
      <c r="J78" s="13">
        <f t="shared" si="14"/>
        <v>67034.259529020128</v>
      </c>
      <c r="K78" s="12">
        <f t="shared" si="15"/>
        <v>-1188.4881183890573</v>
      </c>
      <c r="L78" s="8">
        <f t="shared" si="16"/>
        <v>68924.114275277752</v>
      </c>
      <c r="M78" s="14">
        <f t="shared" si="17"/>
        <v>1.4335750923881565E-2</v>
      </c>
      <c r="N78" s="14">
        <f t="shared" si="18"/>
        <v>0.02</v>
      </c>
      <c r="O78" s="15">
        <f t="shared" si="19"/>
        <v>66989.570022667453</v>
      </c>
      <c r="P78" s="8">
        <f t="shared" si="20"/>
        <v>44.68950635267538</v>
      </c>
      <c r="Q78" s="16">
        <f t="shared" si="21"/>
        <v>69045.287314890738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8"/>
  <sheetViews>
    <sheetView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54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55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56</v>
      </c>
      <c r="C11" s="2">
        <v>3000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57</v>
      </c>
      <c r="G18" s="6" t="s">
        <v>18</v>
      </c>
      <c r="H18" s="6" t="s">
        <v>58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27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12">
        <f>$C$11-0</f>
        <v>3000</v>
      </c>
      <c r="E19" s="9">
        <v>10</v>
      </c>
      <c r="F19" s="10">
        <f t="shared" ref="F19:F50" si="0">(G19*$C$13)/D19</f>
        <v>0.18866666666666668</v>
      </c>
      <c r="G19" s="11">
        <f t="shared" ref="G19:G50" si="1">ROUND($C$12*E19/SUM($E$19:$E$78), 1)</f>
        <v>28.3</v>
      </c>
      <c r="H19" s="10">
        <f>F19</f>
        <v>0.18866666666666668</v>
      </c>
      <c r="I19" s="12">
        <f>G19</f>
        <v>28.3</v>
      </c>
      <c r="J19" s="17">
        <f t="shared" ref="J19:J50" si="2">I19*$C$13/H19</f>
        <v>3000</v>
      </c>
      <c r="K19" s="12">
        <f t="shared" ref="K19:K50" si="3">$C$12-I19+H19*(D19-J19)</f>
        <v>9971.7000000000007</v>
      </c>
      <c r="L19" s="12">
        <f t="shared" ref="L19:L50" si="4">(J19*H19-$C$12)/(H19*(1-$C$14))</f>
        <v>-50254.807606939285</v>
      </c>
      <c r="M19" s="14">
        <f t="shared" ref="M19:M50" si="5">(D19-L19)/D19</f>
        <v>17.751602535646427</v>
      </c>
      <c r="N19" s="14">
        <f t="shared" ref="N19:N50" si="6">IF(B19="1차",0.1,IF(B19="2차",0.05,0.02))</f>
        <v>0.1</v>
      </c>
      <c r="O19" s="18">
        <f t="shared" ref="O19:O50" si="7">J19*(1+N19/$C$13)</f>
        <v>3014.9999999999995</v>
      </c>
      <c r="P19" s="12">
        <f t="shared" ref="P19:P50" si="8">O19-J19</f>
        <v>14.999999999999545</v>
      </c>
      <c r="Q19" s="19">
        <f t="shared" ref="Q19:Q50" si="9">J19*(1-$C$15)</f>
        <v>2910</v>
      </c>
    </row>
    <row r="20" spans="2:17" ht="17.100000000000001" customHeight="1" x14ac:dyDescent="0.3">
      <c r="B20" s="7" t="s">
        <v>29</v>
      </c>
      <c r="C20" s="7" t="s">
        <v>31</v>
      </c>
      <c r="D20" s="12">
        <f>$C$11-2.5</f>
        <v>2997.5</v>
      </c>
      <c r="E20" s="9">
        <v>11</v>
      </c>
      <c r="F20" s="10">
        <f t="shared" si="0"/>
        <v>0.20817347789824853</v>
      </c>
      <c r="G20" s="11">
        <f t="shared" si="1"/>
        <v>31.2</v>
      </c>
      <c r="H20" s="10">
        <f t="shared" ref="H20:H51" si="10">H19+F20</f>
        <v>0.39684014456491523</v>
      </c>
      <c r="I20" s="12">
        <f t="shared" ref="I20:I51" si="11">I19+G20</f>
        <v>59.5</v>
      </c>
      <c r="J20" s="17">
        <f t="shared" si="2"/>
        <v>2998.6885558281501</v>
      </c>
      <c r="K20" s="12">
        <f t="shared" si="3"/>
        <v>9940.0283333333336</v>
      </c>
      <c r="L20" s="12">
        <f t="shared" si="4"/>
        <v>-22311.934611583973</v>
      </c>
      <c r="M20" s="14">
        <f t="shared" si="5"/>
        <v>8.4435144659162535</v>
      </c>
      <c r="N20" s="14">
        <f t="shared" si="6"/>
        <v>0.1</v>
      </c>
      <c r="O20" s="18">
        <f t="shared" si="7"/>
        <v>3013.6819986072906</v>
      </c>
      <c r="P20" s="12">
        <f t="shared" si="8"/>
        <v>14.993442779140423</v>
      </c>
      <c r="Q20" s="19">
        <f t="shared" si="9"/>
        <v>2908.7278991533058</v>
      </c>
    </row>
    <row r="21" spans="2:17" ht="17.100000000000001" customHeight="1" x14ac:dyDescent="0.3">
      <c r="B21" s="7" t="s">
        <v>29</v>
      </c>
      <c r="C21" s="7" t="s">
        <v>32</v>
      </c>
      <c r="D21" s="12">
        <f>$C$11-5</f>
        <v>2995</v>
      </c>
      <c r="E21" s="9">
        <v>12</v>
      </c>
      <c r="F21" s="10">
        <f t="shared" si="0"/>
        <v>0.22704507512520869</v>
      </c>
      <c r="G21" s="11">
        <f t="shared" si="1"/>
        <v>34</v>
      </c>
      <c r="H21" s="10">
        <f t="shared" si="10"/>
        <v>0.62388521969012389</v>
      </c>
      <c r="I21" s="12">
        <f t="shared" si="11"/>
        <v>93.5</v>
      </c>
      <c r="J21" s="17">
        <f t="shared" si="2"/>
        <v>2997.3462120625427</v>
      </c>
      <c r="K21" s="12">
        <f t="shared" si="3"/>
        <v>9905.036232971921</v>
      </c>
      <c r="L21" s="12">
        <f t="shared" si="4"/>
        <v>-13096.726791211926</v>
      </c>
      <c r="M21" s="14">
        <f t="shared" si="5"/>
        <v>5.3728637032427136</v>
      </c>
      <c r="N21" s="14">
        <f t="shared" si="6"/>
        <v>0.1</v>
      </c>
      <c r="O21" s="18">
        <f t="shared" si="7"/>
        <v>3012.3329431228549</v>
      </c>
      <c r="P21" s="12">
        <f t="shared" si="8"/>
        <v>14.986731060312195</v>
      </c>
      <c r="Q21" s="19">
        <f t="shared" si="9"/>
        <v>2907.4258257006663</v>
      </c>
    </row>
    <row r="22" spans="2:17" ht="17.100000000000001" customHeight="1" x14ac:dyDescent="0.3">
      <c r="B22" s="7" t="s">
        <v>29</v>
      </c>
      <c r="C22" s="7" t="s">
        <v>33</v>
      </c>
      <c r="D22" s="12">
        <f>$C$11-7.5</f>
        <v>2992.5</v>
      </c>
      <c r="E22" s="9">
        <v>13</v>
      </c>
      <c r="F22" s="10">
        <f t="shared" si="0"/>
        <v>0.24594820384294069</v>
      </c>
      <c r="G22" s="11">
        <f t="shared" si="1"/>
        <v>36.799999999999997</v>
      </c>
      <c r="H22" s="10">
        <f t="shared" si="10"/>
        <v>0.86983342353306459</v>
      </c>
      <c r="I22" s="12">
        <f t="shared" si="11"/>
        <v>130.30000000000001</v>
      </c>
      <c r="J22" s="17">
        <f t="shared" si="2"/>
        <v>2995.9759299832645</v>
      </c>
      <c r="K22" s="12">
        <f t="shared" si="3"/>
        <v>9866.6765199226975</v>
      </c>
      <c r="L22" s="12">
        <f t="shared" si="4"/>
        <v>-8543.1941080291163</v>
      </c>
      <c r="M22" s="14">
        <f t="shared" si="5"/>
        <v>3.8548685406947758</v>
      </c>
      <c r="N22" s="14">
        <f t="shared" si="6"/>
        <v>0.1</v>
      </c>
      <c r="O22" s="18">
        <f t="shared" si="7"/>
        <v>3010.9558096331803</v>
      </c>
      <c r="P22" s="12">
        <f t="shared" si="8"/>
        <v>14.979879649915802</v>
      </c>
      <c r="Q22" s="19">
        <f t="shared" si="9"/>
        <v>2906.0966520837665</v>
      </c>
    </row>
    <row r="23" spans="2:17" ht="17.100000000000001" customHeight="1" x14ac:dyDescent="0.3">
      <c r="B23" s="7" t="s">
        <v>29</v>
      </c>
      <c r="C23" s="7" t="s">
        <v>34</v>
      </c>
      <c r="D23" s="12">
        <f>$C$11-10</f>
        <v>2990</v>
      </c>
      <c r="E23" s="9">
        <v>14</v>
      </c>
      <c r="F23" s="10">
        <f t="shared" si="0"/>
        <v>0.26555183946488292</v>
      </c>
      <c r="G23" s="11">
        <f t="shared" si="1"/>
        <v>39.700000000000003</v>
      </c>
      <c r="H23" s="10">
        <f t="shared" si="10"/>
        <v>1.1353852629979475</v>
      </c>
      <c r="I23" s="12">
        <f t="shared" si="11"/>
        <v>170</v>
      </c>
      <c r="J23" s="17">
        <f t="shared" si="2"/>
        <v>2994.5782377185446</v>
      </c>
      <c r="K23" s="12">
        <f t="shared" si="3"/>
        <v>9824.8019363638632</v>
      </c>
      <c r="L23" s="12">
        <f t="shared" si="4"/>
        <v>-5842.2158938641433</v>
      </c>
      <c r="M23" s="14">
        <f t="shared" si="5"/>
        <v>2.9539183591518876</v>
      </c>
      <c r="N23" s="14">
        <f t="shared" si="6"/>
        <v>0.1</v>
      </c>
      <c r="O23" s="18">
        <f t="shared" si="7"/>
        <v>3009.5511289071369</v>
      </c>
      <c r="P23" s="12">
        <f t="shared" si="8"/>
        <v>14.972891188592257</v>
      </c>
      <c r="Q23" s="19">
        <f t="shared" si="9"/>
        <v>2904.7408905869884</v>
      </c>
    </row>
    <row r="24" spans="2:17" ht="17.100000000000001" customHeight="1" x14ac:dyDescent="0.3">
      <c r="B24" s="7" t="s">
        <v>29</v>
      </c>
      <c r="C24" s="7" t="s">
        <v>35</v>
      </c>
      <c r="D24" s="12">
        <f>$C$11-12.5</f>
        <v>2987.5</v>
      </c>
      <c r="E24" s="9">
        <v>15</v>
      </c>
      <c r="F24" s="10">
        <f t="shared" si="0"/>
        <v>0.28451882845188287</v>
      </c>
      <c r="G24" s="11">
        <f t="shared" si="1"/>
        <v>42.5</v>
      </c>
      <c r="H24" s="10">
        <f t="shared" si="10"/>
        <v>1.4199040914498304</v>
      </c>
      <c r="I24" s="12">
        <f t="shared" si="11"/>
        <v>212.5</v>
      </c>
      <c r="J24" s="17">
        <f t="shared" si="2"/>
        <v>2993.1599081881832</v>
      </c>
      <c r="K24" s="12">
        <f t="shared" si="3"/>
        <v>9779.4634732063678</v>
      </c>
      <c r="L24" s="12">
        <f t="shared" si="4"/>
        <v>-4069.9188819585111</v>
      </c>
      <c r="M24" s="14">
        <f t="shared" si="5"/>
        <v>2.3623159437518026</v>
      </c>
      <c r="N24" s="14">
        <f t="shared" si="6"/>
        <v>0.1</v>
      </c>
      <c r="O24" s="18">
        <f t="shared" si="7"/>
        <v>3008.1257077291239</v>
      </c>
      <c r="P24" s="12">
        <f t="shared" si="8"/>
        <v>14.965799540940679</v>
      </c>
      <c r="Q24" s="19">
        <f t="shared" si="9"/>
        <v>2903.3651109425377</v>
      </c>
    </row>
    <row r="25" spans="2:17" ht="17.100000000000001" customHeight="1" x14ac:dyDescent="0.3">
      <c r="B25" s="7" t="s">
        <v>29</v>
      </c>
      <c r="C25" s="7" t="s">
        <v>36</v>
      </c>
      <c r="D25" s="12">
        <f>$C$11-15</f>
        <v>2985</v>
      </c>
      <c r="E25" s="9">
        <v>16</v>
      </c>
      <c r="F25" s="10">
        <f t="shared" si="0"/>
        <v>0.30351758793969852</v>
      </c>
      <c r="G25" s="11">
        <f t="shared" si="1"/>
        <v>45.3</v>
      </c>
      <c r="H25" s="10">
        <f t="shared" si="10"/>
        <v>1.7234216793895289</v>
      </c>
      <c r="I25" s="12">
        <f t="shared" si="11"/>
        <v>257.8</v>
      </c>
      <c r="J25" s="17">
        <f t="shared" si="2"/>
        <v>2991.7228393148448</v>
      </c>
      <c r="K25" s="12">
        <f t="shared" si="3"/>
        <v>9730.6137129777453</v>
      </c>
      <c r="L25" s="12">
        <f t="shared" si="4"/>
        <v>-2824.8116910466042</v>
      </c>
      <c r="M25" s="14">
        <f t="shared" si="5"/>
        <v>1.9463355748899847</v>
      </c>
      <c r="N25" s="14">
        <f t="shared" si="6"/>
        <v>0.1</v>
      </c>
      <c r="O25" s="18">
        <f t="shared" si="7"/>
        <v>3006.6814535114186</v>
      </c>
      <c r="P25" s="12">
        <f t="shared" si="8"/>
        <v>14.958614196573762</v>
      </c>
      <c r="Q25" s="19">
        <f t="shared" si="9"/>
        <v>2901.9711541353995</v>
      </c>
    </row>
    <row r="26" spans="2:17" ht="17.100000000000001" customHeight="1" x14ac:dyDescent="0.3">
      <c r="B26" s="7" t="s">
        <v>29</v>
      </c>
      <c r="C26" s="7" t="s">
        <v>37</v>
      </c>
      <c r="D26" s="12">
        <f>$C$11-17.5</f>
        <v>2982.5</v>
      </c>
      <c r="E26" s="9">
        <v>17</v>
      </c>
      <c r="F26" s="10">
        <f t="shared" si="0"/>
        <v>0.32321877619446771</v>
      </c>
      <c r="G26" s="11">
        <f t="shared" si="1"/>
        <v>48.2</v>
      </c>
      <c r="H26" s="10">
        <f t="shared" si="10"/>
        <v>2.0466404555839968</v>
      </c>
      <c r="I26" s="12">
        <f t="shared" si="11"/>
        <v>306</v>
      </c>
      <c r="J26" s="17">
        <f t="shared" si="2"/>
        <v>2990.2663085264257</v>
      </c>
      <c r="K26" s="12">
        <f t="shared" si="3"/>
        <v>9678.1051587792699</v>
      </c>
      <c r="L26" s="12">
        <f t="shared" si="4"/>
        <v>-1905.3163328213834</v>
      </c>
      <c r="M26" s="14">
        <f t="shared" si="5"/>
        <v>1.6388319640641686</v>
      </c>
      <c r="N26" s="14">
        <f t="shared" si="6"/>
        <v>0.1</v>
      </c>
      <c r="O26" s="18">
        <f t="shared" si="7"/>
        <v>3005.2176400690578</v>
      </c>
      <c r="P26" s="12">
        <f t="shared" si="8"/>
        <v>14.951331542632033</v>
      </c>
      <c r="Q26" s="19">
        <f t="shared" si="9"/>
        <v>2900.5583192706331</v>
      </c>
    </row>
    <row r="27" spans="2:17" ht="17.100000000000001" customHeight="1" x14ac:dyDescent="0.3">
      <c r="B27" s="7" t="s">
        <v>29</v>
      </c>
      <c r="C27" s="7" t="s">
        <v>38</v>
      </c>
      <c r="D27" s="12">
        <f>$C$11-20</f>
        <v>2980</v>
      </c>
      <c r="E27" s="9">
        <v>18</v>
      </c>
      <c r="F27" s="10">
        <f t="shared" si="0"/>
        <v>0.34228187919463088</v>
      </c>
      <c r="G27" s="11">
        <f t="shared" si="1"/>
        <v>51</v>
      </c>
      <c r="H27" s="10">
        <f t="shared" si="10"/>
        <v>2.3889223347786275</v>
      </c>
      <c r="I27" s="12">
        <f t="shared" si="11"/>
        <v>357</v>
      </c>
      <c r="J27" s="17">
        <f t="shared" si="2"/>
        <v>2988.7953643589831</v>
      </c>
      <c r="K27" s="12">
        <f t="shared" si="3"/>
        <v>9621.9885576403103</v>
      </c>
      <c r="L27" s="12">
        <f t="shared" si="4"/>
        <v>-1203.2085838248227</v>
      </c>
      <c r="M27" s="14">
        <f t="shared" si="5"/>
        <v>1.4037612697398731</v>
      </c>
      <c r="N27" s="14">
        <f t="shared" si="6"/>
        <v>0.1</v>
      </c>
      <c r="O27" s="18">
        <f t="shared" si="7"/>
        <v>3003.7393411807775</v>
      </c>
      <c r="P27" s="12">
        <f t="shared" si="8"/>
        <v>14.943976821794422</v>
      </c>
      <c r="Q27" s="19">
        <f t="shared" si="9"/>
        <v>2899.1315034282134</v>
      </c>
    </row>
    <row r="28" spans="2:17" ht="17.100000000000001" customHeight="1" x14ac:dyDescent="0.3">
      <c r="B28" s="7" t="s">
        <v>29</v>
      </c>
      <c r="C28" s="7" t="s">
        <v>39</v>
      </c>
      <c r="D28" s="12">
        <f>$C$11-22.5</f>
        <v>2977.5</v>
      </c>
      <c r="E28" s="9">
        <v>19</v>
      </c>
      <c r="F28" s="10">
        <f t="shared" si="0"/>
        <v>0.36137699412258606</v>
      </c>
      <c r="G28" s="11">
        <f t="shared" si="1"/>
        <v>53.8</v>
      </c>
      <c r="H28" s="10">
        <f t="shared" si="10"/>
        <v>2.7502993289012134</v>
      </c>
      <c r="I28" s="12">
        <f t="shared" si="11"/>
        <v>410.8</v>
      </c>
      <c r="J28" s="17">
        <f t="shared" si="2"/>
        <v>2987.3112041526101</v>
      </c>
      <c r="K28" s="12">
        <f t="shared" si="3"/>
        <v>9562.2162518033638</v>
      </c>
      <c r="L28" s="12">
        <f t="shared" si="4"/>
        <v>-651.91624972577802</v>
      </c>
      <c r="M28" s="14">
        <f t="shared" si="5"/>
        <v>1.2189475229977424</v>
      </c>
      <c r="N28" s="14">
        <f t="shared" si="6"/>
        <v>0.1</v>
      </c>
      <c r="O28" s="18">
        <f t="shared" si="7"/>
        <v>3002.2477601733726</v>
      </c>
      <c r="P28" s="12">
        <f t="shared" si="8"/>
        <v>14.936556020762509</v>
      </c>
      <c r="Q28" s="19">
        <f t="shared" si="9"/>
        <v>2897.6918680280319</v>
      </c>
    </row>
    <row r="29" spans="2:17" ht="17.100000000000001" customHeight="1" x14ac:dyDescent="0.3">
      <c r="B29" s="7" t="s">
        <v>29</v>
      </c>
      <c r="C29" s="7" t="s">
        <v>40</v>
      </c>
      <c r="D29" s="12">
        <f>$C$11-25</f>
        <v>2975</v>
      </c>
      <c r="E29" s="9">
        <v>20</v>
      </c>
      <c r="F29" s="10">
        <f t="shared" si="0"/>
        <v>0.38117647058823528</v>
      </c>
      <c r="G29" s="11">
        <f t="shared" si="1"/>
        <v>56.7</v>
      </c>
      <c r="H29" s="10">
        <f t="shared" si="10"/>
        <v>3.1314757994894489</v>
      </c>
      <c r="I29" s="12">
        <f t="shared" si="11"/>
        <v>467.5</v>
      </c>
      <c r="J29" s="17">
        <f t="shared" si="2"/>
        <v>2985.8126323455572</v>
      </c>
      <c r="K29" s="12">
        <f t="shared" si="3"/>
        <v>9498.6405034811105</v>
      </c>
      <c r="L29" s="12">
        <f t="shared" si="4"/>
        <v>-208.61292677554749</v>
      </c>
      <c r="M29" s="14">
        <f t="shared" si="5"/>
        <v>1.0701219921934613</v>
      </c>
      <c r="N29" s="14">
        <f t="shared" si="6"/>
        <v>0.1</v>
      </c>
      <c r="O29" s="18">
        <f t="shared" si="7"/>
        <v>3000.7416955072845</v>
      </c>
      <c r="P29" s="12">
        <f t="shared" si="8"/>
        <v>14.929063161727299</v>
      </c>
      <c r="Q29" s="19">
        <f t="shared" si="9"/>
        <v>2896.2382533751902</v>
      </c>
    </row>
    <row r="30" spans="2:17" ht="17.100000000000001" customHeight="1" x14ac:dyDescent="0.3">
      <c r="B30" s="7" t="s">
        <v>29</v>
      </c>
      <c r="C30" s="7" t="s">
        <v>41</v>
      </c>
      <c r="D30" s="12">
        <f>$C$11-27.5</f>
        <v>2972.5</v>
      </c>
      <c r="E30" s="9">
        <v>21</v>
      </c>
      <c r="F30" s="10">
        <f t="shared" si="0"/>
        <v>0.40033641715727503</v>
      </c>
      <c r="G30" s="11">
        <f t="shared" si="1"/>
        <v>59.5</v>
      </c>
      <c r="H30" s="10">
        <f t="shared" si="10"/>
        <v>3.5318122166467241</v>
      </c>
      <c r="I30" s="12">
        <f t="shared" si="11"/>
        <v>527</v>
      </c>
      <c r="J30" s="17">
        <f t="shared" si="2"/>
        <v>2984.3036247287218</v>
      </c>
      <c r="K30" s="12">
        <f t="shared" si="3"/>
        <v>9431.3118139823873</v>
      </c>
      <c r="L30" s="12">
        <f t="shared" si="4"/>
        <v>153.66433279809959</v>
      </c>
      <c r="M30" s="14">
        <f t="shared" si="5"/>
        <v>0.94830468198550055</v>
      </c>
      <c r="N30" s="14">
        <f t="shared" si="6"/>
        <v>0.1</v>
      </c>
      <c r="O30" s="18">
        <f t="shared" si="7"/>
        <v>2999.225142852365</v>
      </c>
      <c r="P30" s="12">
        <f t="shared" si="8"/>
        <v>14.921518123643182</v>
      </c>
      <c r="Q30" s="19">
        <f t="shared" si="9"/>
        <v>2894.77451598686</v>
      </c>
    </row>
    <row r="31" spans="2:17" ht="17.100000000000001" customHeight="1" x14ac:dyDescent="0.3">
      <c r="B31" s="7" t="s">
        <v>29</v>
      </c>
      <c r="C31" s="7" t="s">
        <v>42</v>
      </c>
      <c r="D31" s="12">
        <f>$C$11-30</f>
        <v>2970</v>
      </c>
      <c r="E31" s="9">
        <v>22</v>
      </c>
      <c r="F31" s="10">
        <f t="shared" si="0"/>
        <v>0.41952861952861953</v>
      </c>
      <c r="G31" s="11">
        <f t="shared" si="1"/>
        <v>62.3</v>
      </c>
      <c r="H31" s="10">
        <f t="shared" si="10"/>
        <v>3.9513408361753437</v>
      </c>
      <c r="I31" s="12">
        <f t="shared" si="11"/>
        <v>589.29999999999995</v>
      </c>
      <c r="J31" s="17">
        <f t="shared" si="2"/>
        <v>2982.7849554502432</v>
      </c>
      <c r="K31" s="12">
        <f t="shared" si="3"/>
        <v>9360.1822834407722</v>
      </c>
      <c r="L31" s="12">
        <f t="shared" si="4"/>
        <v>454.2698159415894</v>
      </c>
      <c r="M31" s="14">
        <f t="shared" si="5"/>
        <v>0.84704720001966682</v>
      </c>
      <c r="N31" s="14">
        <f t="shared" si="6"/>
        <v>0.1</v>
      </c>
      <c r="O31" s="18">
        <f t="shared" si="7"/>
        <v>2997.6988802274941</v>
      </c>
      <c r="P31" s="12">
        <f t="shared" si="8"/>
        <v>14.913924777250941</v>
      </c>
      <c r="Q31" s="19">
        <f t="shared" si="9"/>
        <v>2893.3014067867357</v>
      </c>
    </row>
    <row r="32" spans="2:17" ht="17.100000000000001" customHeight="1" x14ac:dyDescent="0.3">
      <c r="B32" s="7" t="s">
        <v>29</v>
      </c>
      <c r="C32" s="7" t="s">
        <v>43</v>
      </c>
      <c r="D32" s="12">
        <f>$C$11-32.5</f>
        <v>2967.5</v>
      </c>
      <c r="E32" s="9">
        <v>23</v>
      </c>
      <c r="F32" s="10">
        <f t="shared" si="0"/>
        <v>0.43942712721145744</v>
      </c>
      <c r="G32" s="11">
        <f t="shared" si="1"/>
        <v>65.2</v>
      </c>
      <c r="H32" s="10">
        <f t="shared" si="10"/>
        <v>4.3907679633868009</v>
      </c>
      <c r="I32" s="12">
        <f t="shared" si="11"/>
        <v>654.5</v>
      </c>
      <c r="J32" s="17">
        <f t="shared" si="2"/>
        <v>2981.2552403482241</v>
      </c>
      <c r="K32" s="12">
        <f t="shared" si="3"/>
        <v>9285.1039313503315</v>
      </c>
      <c r="L32" s="12">
        <f t="shared" si="4"/>
        <v>707.28575595133907</v>
      </c>
      <c r="M32" s="14">
        <f t="shared" si="5"/>
        <v>0.76165602158337353</v>
      </c>
      <c r="N32" s="14">
        <f t="shared" si="6"/>
        <v>0.1</v>
      </c>
      <c r="O32" s="18">
        <f t="shared" si="7"/>
        <v>2996.1615165499647</v>
      </c>
      <c r="P32" s="12">
        <f t="shared" si="8"/>
        <v>14.906276201740638</v>
      </c>
      <c r="Q32" s="19">
        <f t="shared" si="9"/>
        <v>2891.8175831377771</v>
      </c>
    </row>
    <row r="33" spans="2:17" ht="17.100000000000001" customHeight="1" x14ac:dyDescent="0.3">
      <c r="B33" s="7" t="s">
        <v>29</v>
      </c>
      <c r="C33" s="7" t="s">
        <v>44</v>
      </c>
      <c r="D33" s="12">
        <f>$C$11-35</f>
        <v>2965</v>
      </c>
      <c r="E33" s="9">
        <v>24</v>
      </c>
      <c r="F33" s="10">
        <f t="shared" si="0"/>
        <v>0.45868465430016864</v>
      </c>
      <c r="G33" s="11">
        <f t="shared" si="1"/>
        <v>68</v>
      </c>
      <c r="H33" s="10">
        <f t="shared" si="10"/>
        <v>4.8494526176869694</v>
      </c>
      <c r="I33" s="12">
        <f t="shared" si="11"/>
        <v>722.5</v>
      </c>
      <c r="J33" s="17">
        <f t="shared" si="2"/>
        <v>2979.7177411936809</v>
      </c>
      <c r="K33" s="12">
        <f t="shared" si="3"/>
        <v>9206.1270114418639</v>
      </c>
      <c r="L33" s="12">
        <f t="shared" si="4"/>
        <v>922.24054169198098</v>
      </c>
      <c r="M33" s="14">
        <f t="shared" si="5"/>
        <v>0.68895765878853932</v>
      </c>
      <c r="N33" s="14">
        <f t="shared" si="6"/>
        <v>0.1</v>
      </c>
      <c r="O33" s="18">
        <f t="shared" si="7"/>
        <v>2994.6163298996489</v>
      </c>
      <c r="P33" s="12">
        <f t="shared" si="8"/>
        <v>14.898588705967995</v>
      </c>
      <c r="Q33" s="19">
        <f t="shared" si="9"/>
        <v>2890.3262089578702</v>
      </c>
    </row>
    <row r="34" spans="2:17" ht="17.100000000000001" customHeight="1" x14ac:dyDescent="0.3">
      <c r="B34" s="7" t="s">
        <v>29</v>
      </c>
      <c r="C34" s="7" t="s">
        <v>45</v>
      </c>
      <c r="D34" s="12">
        <f>$C$11-37.5</f>
        <v>2962.5</v>
      </c>
      <c r="E34" s="9">
        <v>25</v>
      </c>
      <c r="F34" s="10">
        <f t="shared" si="0"/>
        <v>0.47797468354430378</v>
      </c>
      <c r="G34" s="11">
        <f t="shared" si="1"/>
        <v>70.8</v>
      </c>
      <c r="H34" s="10">
        <f t="shared" si="10"/>
        <v>5.3274273012312729</v>
      </c>
      <c r="I34" s="12">
        <f t="shared" si="11"/>
        <v>793.3</v>
      </c>
      <c r="J34" s="17">
        <f t="shared" si="2"/>
        <v>2978.1729722211426</v>
      </c>
      <c r="K34" s="12">
        <f t="shared" si="3"/>
        <v>9123.2033798976463</v>
      </c>
      <c r="L34" s="12">
        <f t="shared" si="4"/>
        <v>1106.627468303906</v>
      </c>
      <c r="M34" s="14">
        <f t="shared" si="5"/>
        <v>0.6264548630197786</v>
      </c>
      <c r="N34" s="14">
        <f t="shared" si="6"/>
        <v>0.1</v>
      </c>
      <c r="O34" s="18">
        <f t="shared" si="7"/>
        <v>2993.063837082248</v>
      </c>
      <c r="P34" s="12">
        <f t="shared" si="8"/>
        <v>14.890864861105456</v>
      </c>
      <c r="Q34" s="19">
        <f t="shared" si="9"/>
        <v>2888.827783054508</v>
      </c>
    </row>
    <row r="35" spans="2:17" ht="17.100000000000001" customHeight="1" x14ac:dyDescent="0.3">
      <c r="B35" s="7" t="s">
        <v>29</v>
      </c>
      <c r="C35" s="7" t="s">
        <v>46</v>
      </c>
      <c r="D35" s="12">
        <f>$C$11-40</f>
        <v>2960</v>
      </c>
      <c r="E35" s="9">
        <v>26</v>
      </c>
      <c r="F35" s="10">
        <f t="shared" si="0"/>
        <v>0.49797297297297299</v>
      </c>
      <c r="G35" s="11">
        <f t="shared" si="1"/>
        <v>73.7</v>
      </c>
      <c r="H35" s="10">
        <f t="shared" si="10"/>
        <v>5.8254002742042461</v>
      </c>
      <c r="I35" s="12">
        <f t="shared" si="11"/>
        <v>867</v>
      </c>
      <c r="J35" s="17">
        <f t="shared" si="2"/>
        <v>2976.6194911591128</v>
      </c>
      <c r="K35" s="12">
        <f t="shared" si="3"/>
        <v>9036.184811644569</v>
      </c>
      <c r="L35" s="12">
        <f t="shared" si="4"/>
        <v>1266.3309085860612</v>
      </c>
      <c r="M35" s="14">
        <f t="shared" si="5"/>
        <v>0.57218550385606037</v>
      </c>
      <c r="N35" s="14">
        <f t="shared" si="6"/>
        <v>0.1</v>
      </c>
      <c r="O35" s="18">
        <f t="shared" si="7"/>
        <v>2991.5025886149083</v>
      </c>
      <c r="P35" s="12">
        <f t="shared" si="8"/>
        <v>14.883097455795451</v>
      </c>
      <c r="Q35" s="19">
        <f t="shared" si="9"/>
        <v>2887.3209064243392</v>
      </c>
    </row>
    <row r="36" spans="2:17" ht="17.100000000000001" customHeight="1" x14ac:dyDescent="0.3">
      <c r="B36" s="7" t="s">
        <v>29</v>
      </c>
      <c r="C36" s="7" t="s">
        <v>47</v>
      </c>
      <c r="D36" s="12">
        <f>$C$11-42.5</f>
        <v>2957.5</v>
      </c>
      <c r="E36" s="9">
        <v>27</v>
      </c>
      <c r="F36" s="10">
        <f t="shared" si="0"/>
        <v>0.51732882502113275</v>
      </c>
      <c r="G36" s="11">
        <f t="shared" si="1"/>
        <v>76.5</v>
      </c>
      <c r="H36" s="10">
        <f t="shared" si="10"/>
        <v>6.3427290992253784</v>
      </c>
      <c r="I36" s="12">
        <f t="shared" si="11"/>
        <v>943.5</v>
      </c>
      <c r="J36" s="17">
        <f t="shared" si="2"/>
        <v>2975.0600577130981</v>
      </c>
      <c r="K36" s="12">
        <f t="shared" si="3"/>
        <v>8945.1213109590553</v>
      </c>
      <c r="L36" s="12">
        <f t="shared" si="4"/>
        <v>1405.4790492960392</v>
      </c>
      <c r="M36" s="14">
        <f t="shared" si="5"/>
        <v>0.52477462407572639</v>
      </c>
      <c r="N36" s="14">
        <f t="shared" si="6"/>
        <v>0.1</v>
      </c>
      <c r="O36" s="18">
        <f t="shared" si="7"/>
        <v>2989.9353580016632</v>
      </c>
      <c r="P36" s="12">
        <f t="shared" si="8"/>
        <v>14.875300288565086</v>
      </c>
      <c r="Q36" s="19">
        <f t="shared" si="9"/>
        <v>2885.8082559817049</v>
      </c>
    </row>
    <row r="37" spans="2:17" ht="17.100000000000001" customHeight="1" x14ac:dyDescent="0.3">
      <c r="B37" s="7" t="s">
        <v>29</v>
      </c>
      <c r="C37" s="7" t="s">
        <v>48</v>
      </c>
      <c r="D37" s="12">
        <f>$C$11-45</f>
        <v>2955</v>
      </c>
      <c r="E37" s="9">
        <v>28</v>
      </c>
      <c r="F37" s="10">
        <f t="shared" si="0"/>
        <v>0.5367174280879865</v>
      </c>
      <c r="G37" s="11">
        <f t="shared" si="1"/>
        <v>79.3</v>
      </c>
      <c r="H37" s="10">
        <f t="shared" si="10"/>
        <v>6.8794465273133651</v>
      </c>
      <c r="I37" s="12">
        <f t="shared" si="11"/>
        <v>1022.8</v>
      </c>
      <c r="J37" s="17">
        <f t="shared" si="2"/>
        <v>2973.4950215520748</v>
      </c>
      <c r="K37" s="12">
        <f t="shared" si="3"/>
        <v>8849.9644882109933</v>
      </c>
      <c r="L37" s="12">
        <f t="shared" si="4"/>
        <v>1527.5273485804312</v>
      </c>
      <c r="M37" s="14">
        <f t="shared" si="5"/>
        <v>0.48307027120797591</v>
      </c>
      <c r="N37" s="14">
        <f t="shared" si="6"/>
        <v>0.1</v>
      </c>
      <c r="O37" s="18">
        <f t="shared" si="7"/>
        <v>2988.362496659835</v>
      </c>
      <c r="P37" s="12">
        <f t="shared" si="8"/>
        <v>14.867475107760129</v>
      </c>
      <c r="Q37" s="19">
        <f t="shared" si="9"/>
        <v>2884.2901709055127</v>
      </c>
    </row>
    <row r="38" spans="2:17" ht="17.100000000000001" customHeight="1" x14ac:dyDescent="0.3">
      <c r="B38" s="7" t="s">
        <v>29</v>
      </c>
      <c r="C38" s="7" t="s">
        <v>49</v>
      </c>
      <c r="D38" s="12">
        <f>$C$11-47.5</f>
        <v>2952.5</v>
      </c>
      <c r="E38" s="9">
        <v>29</v>
      </c>
      <c r="F38" s="10">
        <f t="shared" si="0"/>
        <v>0.55681625740897545</v>
      </c>
      <c r="G38" s="11">
        <f t="shared" si="1"/>
        <v>82.2</v>
      </c>
      <c r="H38" s="10">
        <f t="shared" si="10"/>
        <v>7.4362627847223406</v>
      </c>
      <c r="I38" s="12">
        <f t="shared" si="11"/>
        <v>1105</v>
      </c>
      <c r="J38" s="17">
        <f t="shared" si="2"/>
        <v>2971.922945676964</v>
      </c>
      <c r="K38" s="12">
        <f t="shared" si="3"/>
        <v>8750.5658718927098</v>
      </c>
      <c r="L38" s="12">
        <f t="shared" si="4"/>
        <v>1635.3381224080249</v>
      </c>
      <c r="M38" s="14">
        <f t="shared" si="5"/>
        <v>0.44611748605994078</v>
      </c>
      <c r="N38" s="14">
        <f t="shared" si="6"/>
        <v>0.1</v>
      </c>
      <c r="O38" s="18">
        <f t="shared" si="7"/>
        <v>2986.7825604053487</v>
      </c>
      <c r="P38" s="12">
        <f t="shared" si="8"/>
        <v>14.859614728384713</v>
      </c>
      <c r="Q38" s="19">
        <f t="shared" si="9"/>
        <v>2882.7652573066548</v>
      </c>
    </row>
    <row r="39" spans="2:17" ht="17.100000000000001" customHeight="1" x14ac:dyDescent="0.3">
      <c r="B39" s="7" t="s">
        <v>50</v>
      </c>
      <c r="C39" s="7" t="s">
        <v>30</v>
      </c>
      <c r="D39" s="12">
        <f>$C$11-50</f>
        <v>2950</v>
      </c>
      <c r="E39" s="9">
        <v>30</v>
      </c>
      <c r="F39" s="10">
        <f t="shared" si="0"/>
        <v>0.57627118644067798</v>
      </c>
      <c r="G39" s="11">
        <f t="shared" si="1"/>
        <v>85</v>
      </c>
      <c r="H39" s="10">
        <f t="shared" si="10"/>
        <v>8.0125339711630179</v>
      </c>
      <c r="I39" s="12">
        <f t="shared" si="11"/>
        <v>1190</v>
      </c>
      <c r="J39" s="17">
        <f t="shared" si="2"/>
        <v>2970.346220765593</v>
      </c>
      <c r="K39" s="12">
        <f t="shared" si="3"/>
        <v>8646.9752149309043</v>
      </c>
      <c r="L39" s="12">
        <f t="shared" si="4"/>
        <v>1730.9563720520748</v>
      </c>
      <c r="M39" s="14">
        <f t="shared" si="5"/>
        <v>0.41323512811794072</v>
      </c>
      <c r="N39" s="14">
        <f t="shared" si="6"/>
        <v>0.05</v>
      </c>
      <c r="O39" s="18">
        <f t="shared" si="7"/>
        <v>2977.7720863175068</v>
      </c>
      <c r="P39" s="12">
        <f t="shared" si="8"/>
        <v>7.4258655519138301</v>
      </c>
      <c r="Q39" s="19">
        <f t="shared" si="9"/>
        <v>2881.2358341426252</v>
      </c>
    </row>
    <row r="40" spans="2:17" ht="17.100000000000001" customHeight="1" x14ac:dyDescent="0.3">
      <c r="B40" s="7" t="s">
        <v>50</v>
      </c>
      <c r="C40" s="7" t="s">
        <v>31</v>
      </c>
      <c r="D40" s="12">
        <f>$C$11-52.5</f>
        <v>2947.5</v>
      </c>
      <c r="E40" s="9">
        <v>32</v>
      </c>
      <c r="F40" s="10">
        <f t="shared" si="0"/>
        <v>0.61543681085665813</v>
      </c>
      <c r="G40" s="11">
        <f t="shared" si="1"/>
        <v>90.7</v>
      </c>
      <c r="H40" s="10">
        <f t="shared" si="10"/>
        <v>8.6279707820196769</v>
      </c>
      <c r="I40" s="12">
        <f t="shared" si="11"/>
        <v>1280.7</v>
      </c>
      <c r="J40" s="17">
        <f t="shared" si="2"/>
        <v>2968.7165901602825</v>
      </c>
      <c r="K40" s="12">
        <f t="shared" si="3"/>
        <v>8536.2438800029959</v>
      </c>
      <c r="L40" s="12">
        <f t="shared" si="4"/>
        <v>1818.7894590765434</v>
      </c>
      <c r="M40" s="14">
        <f t="shared" si="5"/>
        <v>0.38293826664069774</v>
      </c>
      <c r="N40" s="14">
        <f t="shared" si="6"/>
        <v>0.05</v>
      </c>
      <c r="O40" s="18">
        <f t="shared" si="7"/>
        <v>2976.1383816356829</v>
      </c>
      <c r="P40" s="12">
        <f t="shared" si="8"/>
        <v>7.4217914754003687</v>
      </c>
      <c r="Q40" s="19">
        <f t="shared" si="9"/>
        <v>2879.655092455474</v>
      </c>
    </row>
    <row r="41" spans="2:17" ht="17.100000000000001" customHeight="1" x14ac:dyDescent="0.3">
      <c r="B41" s="7" t="s">
        <v>50</v>
      </c>
      <c r="C41" s="7" t="s">
        <v>32</v>
      </c>
      <c r="D41" s="12">
        <f>$C$11-55</f>
        <v>2945</v>
      </c>
      <c r="E41" s="9">
        <v>34</v>
      </c>
      <c r="F41" s="10">
        <f t="shared" si="0"/>
        <v>0.65398981324278438</v>
      </c>
      <c r="G41" s="11">
        <f t="shared" si="1"/>
        <v>96.3</v>
      </c>
      <c r="H41" s="10">
        <f t="shared" si="10"/>
        <v>9.2819605952624613</v>
      </c>
      <c r="I41" s="12">
        <f t="shared" si="11"/>
        <v>1377</v>
      </c>
      <c r="J41" s="17">
        <f t="shared" si="2"/>
        <v>2967.0455629876833</v>
      </c>
      <c r="K41" s="12">
        <f t="shared" si="3"/>
        <v>8418.373953047947</v>
      </c>
      <c r="L41" s="12">
        <f t="shared" si="4"/>
        <v>1899.1828851886141</v>
      </c>
      <c r="M41" s="14">
        <f t="shared" si="5"/>
        <v>0.3551161680174485</v>
      </c>
      <c r="N41" s="14">
        <f t="shared" si="6"/>
        <v>0.05</v>
      </c>
      <c r="O41" s="18">
        <f t="shared" si="7"/>
        <v>2974.4631768951522</v>
      </c>
      <c r="P41" s="12">
        <f t="shared" si="8"/>
        <v>7.4176139074688763</v>
      </c>
      <c r="Q41" s="19">
        <f t="shared" si="9"/>
        <v>2878.0341960980527</v>
      </c>
    </row>
    <row r="42" spans="2:17" ht="17.100000000000001" customHeight="1" x14ac:dyDescent="0.3">
      <c r="B42" s="7" t="s">
        <v>50</v>
      </c>
      <c r="C42" s="7" t="s">
        <v>33</v>
      </c>
      <c r="D42" s="12">
        <f>$C$11-57.5</f>
        <v>2942.5</v>
      </c>
      <c r="E42" s="9">
        <v>36</v>
      </c>
      <c r="F42" s="10">
        <f t="shared" si="0"/>
        <v>0.69328802039082416</v>
      </c>
      <c r="G42" s="11">
        <f t="shared" si="1"/>
        <v>102</v>
      </c>
      <c r="H42" s="10">
        <f t="shared" si="10"/>
        <v>9.9752486156532854</v>
      </c>
      <c r="I42" s="12">
        <f t="shared" si="11"/>
        <v>1479</v>
      </c>
      <c r="J42" s="17">
        <f t="shared" si="2"/>
        <v>2965.3396260803656</v>
      </c>
      <c r="K42" s="12">
        <f t="shared" si="3"/>
        <v>8293.1690515597948</v>
      </c>
      <c r="L42" s="12">
        <f t="shared" si="4"/>
        <v>1972.7219559139019</v>
      </c>
      <c r="M42" s="14">
        <f t="shared" si="5"/>
        <v>0.32957622568771389</v>
      </c>
      <c r="N42" s="14">
        <f t="shared" si="6"/>
        <v>0.05</v>
      </c>
      <c r="O42" s="18">
        <f t="shared" si="7"/>
        <v>2972.7529751455663</v>
      </c>
      <c r="P42" s="12">
        <f t="shared" si="8"/>
        <v>7.4133490652006913</v>
      </c>
      <c r="Q42" s="19">
        <f t="shared" si="9"/>
        <v>2876.3794372979546</v>
      </c>
    </row>
    <row r="43" spans="2:17" ht="17.100000000000001" customHeight="1" x14ac:dyDescent="0.3">
      <c r="B43" s="7" t="s">
        <v>50</v>
      </c>
      <c r="C43" s="7" t="s">
        <v>34</v>
      </c>
      <c r="D43" s="12">
        <f>$C$11-60</f>
        <v>2940</v>
      </c>
      <c r="E43" s="9">
        <v>38</v>
      </c>
      <c r="F43" s="10">
        <f t="shared" si="0"/>
        <v>0.73197278911564623</v>
      </c>
      <c r="G43" s="11">
        <f t="shared" si="1"/>
        <v>107.6</v>
      </c>
      <c r="H43" s="10">
        <f t="shared" si="10"/>
        <v>10.707221404768932</v>
      </c>
      <c r="I43" s="12">
        <f t="shared" si="11"/>
        <v>1586.6</v>
      </c>
      <c r="J43" s="17">
        <f t="shared" si="2"/>
        <v>2963.6073450266713</v>
      </c>
      <c r="K43" s="12">
        <f t="shared" si="3"/>
        <v>8160.6309300206594</v>
      </c>
      <c r="L43" s="12">
        <f t="shared" si="4"/>
        <v>2039.8575133995841</v>
      </c>
      <c r="M43" s="14">
        <f t="shared" si="5"/>
        <v>0.30617091380966527</v>
      </c>
      <c r="N43" s="14">
        <f t="shared" si="6"/>
        <v>0.05</v>
      </c>
      <c r="O43" s="18">
        <f t="shared" si="7"/>
        <v>2971.016363389238</v>
      </c>
      <c r="P43" s="12">
        <f t="shared" si="8"/>
        <v>7.4090183625667123</v>
      </c>
      <c r="Q43" s="19">
        <f t="shared" si="9"/>
        <v>2874.6991246758712</v>
      </c>
    </row>
    <row r="44" spans="2:17" ht="17.100000000000001" customHeight="1" x14ac:dyDescent="0.3">
      <c r="B44" s="7" t="s">
        <v>50</v>
      </c>
      <c r="C44" s="7" t="s">
        <v>35</v>
      </c>
      <c r="D44" s="12">
        <f>$C$11-62.5</f>
        <v>2937.5</v>
      </c>
      <c r="E44" s="9">
        <v>40</v>
      </c>
      <c r="F44" s="10">
        <f t="shared" si="0"/>
        <v>0.77140425531914891</v>
      </c>
      <c r="G44" s="11">
        <f t="shared" si="1"/>
        <v>113.3</v>
      </c>
      <c r="H44" s="10">
        <f t="shared" si="10"/>
        <v>11.478625660088081</v>
      </c>
      <c r="I44" s="12">
        <f t="shared" si="11"/>
        <v>1699.8999999999999</v>
      </c>
      <c r="J44" s="17">
        <f t="shared" si="2"/>
        <v>2961.8528390740394</v>
      </c>
      <c r="K44" s="12">
        <f t="shared" si="3"/>
        <v>8020.5628765087367</v>
      </c>
      <c r="L44" s="12">
        <f t="shared" si="4"/>
        <v>2101.1742763496518</v>
      </c>
      <c r="M44" s="14">
        <f t="shared" si="5"/>
        <v>0.28470662932777813</v>
      </c>
      <c r="N44" s="14">
        <f t="shared" si="6"/>
        <v>0.05</v>
      </c>
      <c r="O44" s="18">
        <f t="shared" si="7"/>
        <v>2969.2574711717243</v>
      </c>
      <c r="P44" s="12">
        <f t="shared" si="8"/>
        <v>7.4046320976849529</v>
      </c>
      <c r="Q44" s="19">
        <f t="shared" si="9"/>
        <v>2872.9972539018181</v>
      </c>
    </row>
    <row r="45" spans="2:17" ht="17.100000000000001" customHeight="1" x14ac:dyDescent="0.3">
      <c r="B45" s="7" t="s">
        <v>50</v>
      </c>
      <c r="C45" s="7" t="s">
        <v>36</v>
      </c>
      <c r="D45" s="12">
        <f>$C$11-65</f>
        <v>2935</v>
      </c>
      <c r="E45" s="9">
        <v>42</v>
      </c>
      <c r="F45" s="10">
        <f t="shared" si="0"/>
        <v>0.81090289608177168</v>
      </c>
      <c r="G45" s="11">
        <f t="shared" si="1"/>
        <v>119</v>
      </c>
      <c r="H45" s="10">
        <f t="shared" si="10"/>
        <v>12.289528556169852</v>
      </c>
      <c r="I45" s="12">
        <f t="shared" si="11"/>
        <v>1818.8999999999999</v>
      </c>
      <c r="J45" s="17">
        <f t="shared" si="2"/>
        <v>2960.0810017839731</v>
      </c>
      <c r="K45" s="12">
        <f t="shared" si="3"/>
        <v>7872.8663123585166</v>
      </c>
      <c r="L45" s="12">
        <f t="shared" si="4"/>
        <v>2157.1659679743943</v>
      </c>
      <c r="M45" s="14">
        <f t="shared" si="5"/>
        <v>0.26502011312627111</v>
      </c>
      <c r="N45" s="14">
        <f t="shared" si="6"/>
        <v>0.05</v>
      </c>
      <c r="O45" s="18">
        <f t="shared" si="7"/>
        <v>2967.4812042884328</v>
      </c>
      <c r="P45" s="12">
        <f t="shared" si="8"/>
        <v>7.4002025044596849</v>
      </c>
      <c r="Q45" s="19">
        <f t="shared" si="9"/>
        <v>2871.2785717304537</v>
      </c>
    </row>
    <row r="46" spans="2:17" ht="17.100000000000001" customHeight="1" x14ac:dyDescent="0.3">
      <c r="B46" s="7" t="s">
        <v>50</v>
      </c>
      <c r="C46" s="7" t="s">
        <v>37</v>
      </c>
      <c r="D46" s="12">
        <f>$C$11-67.5</f>
        <v>2932.5</v>
      </c>
      <c r="E46" s="9">
        <v>44</v>
      </c>
      <c r="F46" s="10">
        <f t="shared" si="0"/>
        <v>0.84978687127024721</v>
      </c>
      <c r="G46" s="11">
        <f t="shared" si="1"/>
        <v>124.6</v>
      </c>
      <c r="H46" s="10">
        <f t="shared" si="10"/>
        <v>13.139315427440099</v>
      </c>
      <c r="I46" s="12">
        <f t="shared" si="11"/>
        <v>1943.4999999999998</v>
      </c>
      <c r="J46" s="17">
        <f t="shared" si="2"/>
        <v>2958.297197038441</v>
      </c>
      <c r="K46" s="12">
        <f t="shared" si="3"/>
        <v>7717.5424909680996</v>
      </c>
      <c r="L46" s="12">
        <f t="shared" si="4"/>
        <v>2208.2638579700611</v>
      </c>
      <c r="M46" s="14">
        <f t="shared" si="5"/>
        <v>0.24696884638702096</v>
      </c>
      <c r="N46" s="14">
        <f t="shared" si="6"/>
        <v>0.05</v>
      </c>
      <c r="O46" s="18">
        <f t="shared" si="7"/>
        <v>2965.6929400310369</v>
      </c>
      <c r="P46" s="12">
        <f t="shared" si="8"/>
        <v>7.3957429925958422</v>
      </c>
      <c r="Q46" s="19">
        <f t="shared" si="9"/>
        <v>2869.5482811272877</v>
      </c>
    </row>
    <row r="47" spans="2:17" ht="17.100000000000001" customHeight="1" x14ac:dyDescent="0.3">
      <c r="B47" s="7" t="s">
        <v>50</v>
      </c>
      <c r="C47" s="7" t="s">
        <v>38</v>
      </c>
      <c r="D47" s="12">
        <f>$C$11-70</f>
        <v>2930</v>
      </c>
      <c r="E47" s="9">
        <v>46</v>
      </c>
      <c r="F47" s="10">
        <f t="shared" si="0"/>
        <v>0.889419795221843</v>
      </c>
      <c r="G47" s="11">
        <f t="shared" si="1"/>
        <v>130.30000000000001</v>
      </c>
      <c r="H47" s="10">
        <f t="shared" si="10"/>
        <v>14.028735222661942</v>
      </c>
      <c r="I47" s="12">
        <f t="shared" si="11"/>
        <v>2073.7999999999997</v>
      </c>
      <c r="J47" s="17">
        <f t="shared" si="2"/>
        <v>2956.5031588164761</v>
      </c>
      <c r="K47" s="12">
        <f t="shared" si="3"/>
        <v>7554.3942023994987</v>
      </c>
      <c r="L47" s="12">
        <f t="shared" si="4"/>
        <v>2254.9553008292355</v>
      </c>
      <c r="M47" s="14">
        <f t="shared" si="5"/>
        <v>0.23039068231084112</v>
      </c>
      <c r="N47" s="14">
        <f t="shared" si="6"/>
        <v>0.05</v>
      </c>
      <c r="O47" s="18">
        <f t="shared" si="7"/>
        <v>2963.8944167135173</v>
      </c>
      <c r="P47" s="12">
        <f t="shared" si="8"/>
        <v>7.3912578970412142</v>
      </c>
      <c r="Q47" s="19">
        <f t="shared" si="9"/>
        <v>2867.8080640519815</v>
      </c>
    </row>
    <row r="48" spans="2:17" ht="17.100000000000001" customHeight="1" x14ac:dyDescent="0.3">
      <c r="B48" s="7" t="s">
        <v>50</v>
      </c>
      <c r="C48" s="7" t="s">
        <v>39</v>
      </c>
      <c r="D48" s="12">
        <f>$C$11-72.5</f>
        <v>2927.5</v>
      </c>
      <c r="E48" s="9">
        <v>48</v>
      </c>
      <c r="F48" s="10">
        <f t="shared" si="0"/>
        <v>0.92912040990606315</v>
      </c>
      <c r="G48" s="11">
        <f t="shared" si="1"/>
        <v>136</v>
      </c>
      <c r="H48" s="10">
        <f t="shared" si="10"/>
        <v>14.957855632568005</v>
      </c>
      <c r="I48" s="12">
        <f t="shared" si="11"/>
        <v>2209.7999999999997</v>
      </c>
      <c r="J48" s="17">
        <f t="shared" si="2"/>
        <v>2954.7016019977659</v>
      </c>
      <c r="K48" s="12">
        <f t="shared" si="3"/>
        <v>7383.3223643428446</v>
      </c>
      <c r="L48" s="12">
        <f t="shared" si="4"/>
        <v>2297.6447988406962</v>
      </c>
      <c r="M48" s="14">
        <f t="shared" si="5"/>
        <v>0.21515122157448463</v>
      </c>
      <c r="N48" s="14">
        <f t="shared" si="6"/>
        <v>0.05</v>
      </c>
      <c r="O48" s="18">
        <f t="shared" si="7"/>
        <v>2962.0883560027601</v>
      </c>
      <c r="P48" s="12">
        <f t="shared" si="8"/>
        <v>7.3867540049941454</v>
      </c>
      <c r="Q48" s="19">
        <f t="shared" si="9"/>
        <v>2866.060553937833</v>
      </c>
    </row>
    <row r="49" spans="2:17" ht="17.100000000000001" customHeight="1" x14ac:dyDescent="0.3">
      <c r="B49" s="7" t="s">
        <v>50</v>
      </c>
      <c r="C49" s="7" t="s">
        <v>40</v>
      </c>
      <c r="D49" s="12">
        <f>$C$11-75</f>
        <v>2925</v>
      </c>
      <c r="E49" s="9">
        <v>50</v>
      </c>
      <c r="F49" s="10">
        <f t="shared" si="0"/>
        <v>0.96820512820512816</v>
      </c>
      <c r="G49" s="11">
        <f t="shared" si="1"/>
        <v>141.6</v>
      </c>
      <c r="H49" s="10">
        <f t="shared" si="10"/>
        <v>15.926060760773133</v>
      </c>
      <c r="I49" s="12">
        <f t="shared" si="11"/>
        <v>2351.3999999999996</v>
      </c>
      <c r="J49" s="17">
        <f t="shared" si="2"/>
        <v>2952.8959299108569</v>
      </c>
      <c r="K49" s="12">
        <f t="shared" si="3"/>
        <v>7204.3277252614243</v>
      </c>
      <c r="L49" s="12">
        <f t="shared" si="4"/>
        <v>2336.6776575045683</v>
      </c>
      <c r="M49" s="14">
        <f t="shared" si="5"/>
        <v>0.20113584358818179</v>
      </c>
      <c r="N49" s="14">
        <f t="shared" si="6"/>
        <v>0.05</v>
      </c>
      <c r="O49" s="18">
        <f t="shared" si="7"/>
        <v>2960.278169735634</v>
      </c>
      <c r="P49" s="12">
        <f t="shared" si="8"/>
        <v>7.3822398247771162</v>
      </c>
      <c r="Q49" s="19">
        <f t="shared" si="9"/>
        <v>2864.3090520135311</v>
      </c>
    </row>
    <row r="50" spans="2:17" ht="17.100000000000001" customHeight="1" x14ac:dyDescent="0.3">
      <c r="B50" s="7" t="s">
        <v>50</v>
      </c>
      <c r="C50" s="7" t="s">
        <v>41</v>
      </c>
      <c r="D50" s="12">
        <f>$C$11-77.5</f>
        <v>2922.5</v>
      </c>
      <c r="E50" s="9">
        <v>52</v>
      </c>
      <c r="F50" s="10">
        <f t="shared" si="0"/>
        <v>1.0080410607356716</v>
      </c>
      <c r="G50" s="11">
        <f t="shared" si="1"/>
        <v>147.30000000000001</v>
      </c>
      <c r="H50" s="10">
        <f t="shared" si="10"/>
        <v>16.934101821508804</v>
      </c>
      <c r="I50" s="12">
        <f t="shared" si="11"/>
        <v>2498.6999999999998</v>
      </c>
      <c r="J50" s="17">
        <f t="shared" si="2"/>
        <v>2951.0865428082911</v>
      </c>
      <c r="K50" s="12">
        <f t="shared" si="3"/>
        <v>7017.2125733594776</v>
      </c>
      <c r="L50" s="12">
        <f t="shared" si="4"/>
        <v>2372.4242829833042</v>
      </c>
      <c r="M50" s="14">
        <f t="shared" si="5"/>
        <v>0.18822094679784285</v>
      </c>
      <c r="N50" s="14">
        <f t="shared" si="6"/>
        <v>0.05</v>
      </c>
      <c r="O50" s="18">
        <f t="shared" si="7"/>
        <v>2958.4642591653119</v>
      </c>
      <c r="P50" s="12">
        <f t="shared" si="8"/>
        <v>7.3777163570207449</v>
      </c>
      <c r="Q50" s="19">
        <f t="shared" si="9"/>
        <v>2862.5539465240422</v>
      </c>
    </row>
    <row r="51" spans="2:17" ht="17.100000000000001" customHeight="1" x14ac:dyDescent="0.3">
      <c r="B51" s="7" t="s">
        <v>50</v>
      </c>
      <c r="C51" s="7" t="s">
        <v>42</v>
      </c>
      <c r="D51" s="12">
        <f>$C$11-80</f>
        <v>2920</v>
      </c>
      <c r="E51" s="9">
        <v>54</v>
      </c>
      <c r="F51" s="10">
        <f t="shared" ref="F51:F78" si="12">(G51*$C$13)/D51</f>
        <v>1.047945205479452</v>
      </c>
      <c r="G51" s="11">
        <f t="shared" ref="G51:G78" si="13">ROUND($C$12*E51/SUM($E$19:$E$78), 1)</f>
        <v>153</v>
      </c>
      <c r="H51" s="10">
        <f t="shared" si="10"/>
        <v>17.982047026988255</v>
      </c>
      <c r="I51" s="12">
        <f t="shared" si="11"/>
        <v>2651.7</v>
      </c>
      <c r="J51" s="17">
        <f t="shared" ref="J51:J78" si="14">I51*$C$13/H51</f>
        <v>2949.2749029298066</v>
      </c>
      <c r="K51" s="12">
        <f t="shared" ref="K51:K78" si="15">$C$12-I51+H51*(D51-J51)</f>
        <v>6821.8773188057021</v>
      </c>
      <c r="L51" s="12">
        <f t="shared" ref="L51:L78" si="16">(J51*H51-$C$12)/(H51*(1-$C$14))</f>
        <v>2405.1906432771257</v>
      </c>
      <c r="M51" s="14">
        <f t="shared" ref="M51:M78" si="17">(D51-L51)/D51</f>
        <v>0.17630457422016244</v>
      </c>
      <c r="N51" s="14">
        <f t="shared" ref="N51:N78" si="18">IF(B51="1차",0.1,IF(B51="2차",0.05,0.02))</f>
        <v>0.05</v>
      </c>
      <c r="O51" s="18">
        <f t="shared" ref="O51:O78" si="19">J51*(1+N51/$C$13)</f>
        <v>2956.6480901871309</v>
      </c>
      <c r="P51" s="12">
        <f t="shared" ref="P51:P78" si="20">O51-J51</f>
        <v>7.3731872573243891</v>
      </c>
      <c r="Q51" s="19">
        <f t="shared" ref="Q51:Q78" si="21">J51*(1-$C$15)</f>
        <v>2860.7966558419121</v>
      </c>
    </row>
    <row r="52" spans="2:17" ht="17.100000000000001" customHeight="1" x14ac:dyDescent="0.3">
      <c r="B52" s="7" t="s">
        <v>50</v>
      </c>
      <c r="C52" s="7" t="s">
        <v>43</v>
      </c>
      <c r="D52" s="12">
        <f>$C$11-82.5</f>
        <v>2917.5</v>
      </c>
      <c r="E52" s="9">
        <v>56</v>
      </c>
      <c r="F52" s="10">
        <f t="shared" si="12"/>
        <v>1.0872322193658954</v>
      </c>
      <c r="G52" s="11">
        <f t="shared" si="13"/>
        <v>158.6</v>
      </c>
      <c r="H52" s="10">
        <f t="shared" ref="H52:H78" si="22">H51+F52</f>
        <v>19.069279246354149</v>
      </c>
      <c r="I52" s="12">
        <f t="shared" ref="I52:I78" si="23">I51+G52</f>
        <v>2810.2999999999997</v>
      </c>
      <c r="J52" s="17">
        <f t="shared" si="14"/>
        <v>2947.4632613996673</v>
      </c>
      <c r="K52" s="12">
        <f t="shared" si="15"/>
        <v>6618.3222012382403</v>
      </c>
      <c r="L52" s="12">
        <f t="shared" si="16"/>
        <v>2435.2357713599672</v>
      </c>
      <c r="M52" s="14">
        <f t="shared" si="17"/>
        <v>0.16530050681749195</v>
      </c>
      <c r="N52" s="14">
        <f t="shared" si="18"/>
        <v>0.05</v>
      </c>
      <c r="O52" s="18">
        <f t="shared" si="19"/>
        <v>2954.8319195531662</v>
      </c>
      <c r="P52" s="12">
        <f t="shared" si="20"/>
        <v>7.3686581534989273</v>
      </c>
      <c r="Q52" s="19">
        <f t="shared" si="21"/>
        <v>2859.039363557677</v>
      </c>
    </row>
    <row r="53" spans="2:17" ht="17.100000000000001" customHeight="1" x14ac:dyDescent="0.3">
      <c r="B53" s="7" t="s">
        <v>50</v>
      </c>
      <c r="C53" s="7" t="s">
        <v>44</v>
      </c>
      <c r="D53" s="12">
        <f>$C$11-85</f>
        <v>2915</v>
      </c>
      <c r="E53" s="9">
        <v>58</v>
      </c>
      <c r="F53" s="10">
        <f t="shared" si="12"/>
        <v>1.1272727272727272</v>
      </c>
      <c r="G53" s="11">
        <f t="shared" si="13"/>
        <v>164.3</v>
      </c>
      <c r="H53" s="10">
        <f t="shared" si="22"/>
        <v>20.196551973626878</v>
      </c>
      <c r="I53" s="12">
        <f t="shared" si="23"/>
        <v>2974.6</v>
      </c>
      <c r="J53" s="17">
        <f t="shared" si="14"/>
        <v>2945.6513209624109</v>
      </c>
      <c r="K53" s="12">
        <f t="shared" si="15"/>
        <v>6406.34900312235</v>
      </c>
      <c r="L53" s="12">
        <f t="shared" si="16"/>
        <v>2462.8314567031289</v>
      </c>
      <c r="M53" s="14">
        <f t="shared" si="17"/>
        <v>0.1551178536181376</v>
      </c>
      <c r="N53" s="14">
        <f t="shared" si="18"/>
        <v>0.05</v>
      </c>
      <c r="O53" s="18">
        <f t="shared" si="19"/>
        <v>2953.0154492648167</v>
      </c>
      <c r="P53" s="12">
        <f t="shared" si="20"/>
        <v>7.3641283024057884</v>
      </c>
      <c r="Q53" s="19">
        <f t="shared" si="21"/>
        <v>2857.2817813335387</v>
      </c>
    </row>
    <row r="54" spans="2:17" ht="17.100000000000001" customHeight="1" x14ac:dyDescent="0.3">
      <c r="B54" s="7" t="s">
        <v>50</v>
      </c>
      <c r="C54" s="7" t="s">
        <v>45</v>
      </c>
      <c r="D54" s="12">
        <f>$C$11-87.5</f>
        <v>2912.5</v>
      </c>
      <c r="E54" s="9">
        <v>60</v>
      </c>
      <c r="F54" s="10">
        <f t="shared" si="12"/>
        <v>1.1673819742489271</v>
      </c>
      <c r="G54" s="11">
        <f t="shared" si="13"/>
        <v>170</v>
      </c>
      <c r="H54" s="10">
        <f t="shared" si="22"/>
        <v>21.363933947875804</v>
      </c>
      <c r="I54" s="12">
        <f t="shared" si="23"/>
        <v>3144.6</v>
      </c>
      <c r="J54" s="17">
        <f t="shared" si="14"/>
        <v>2943.839844920195</v>
      </c>
      <c r="K54" s="12">
        <f t="shared" si="15"/>
        <v>6185.8576231882826</v>
      </c>
      <c r="L54" s="12">
        <f t="shared" si="16"/>
        <v>2488.2022699760801</v>
      </c>
      <c r="M54" s="14">
        <f t="shared" si="17"/>
        <v>0.14568162404254761</v>
      </c>
      <c r="N54" s="14">
        <f t="shared" si="18"/>
        <v>0.05</v>
      </c>
      <c r="O54" s="18">
        <f t="shared" si="19"/>
        <v>2951.1994445324954</v>
      </c>
      <c r="P54" s="12">
        <f t="shared" si="20"/>
        <v>7.3595996123003715</v>
      </c>
      <c r="Q54" s="19">
        <f t="shared" si="21"/>
        <v>2855.5246495725892</v>
      </c>
    </row>
    <row r="55" spans="2:17" ht="17.100000000000001" customHeight="1" x14ac:dyDescent="0.3">
      <c r="B55" s="7" t="s">
        <v>50</v>
      </c>
      <c r="C55" s="7" t="s">
        <v>46</v>
      </c>
      <c r="D55" s="12">
        <f>$C$11-90</f>
        <v>2910</v>
      </c>
      <c r="E55" s="9">
        <v>62</v>
      </c>
      <c r="F55" s="10">
        <f t="shared" si="12"/>
        <v>1.2068728522336769</v>
      </c>
      <c r="G55" s="11">
        <f t="shared" si="13"/>
        <v>175.6</v>
      </c>
      <c r="H55" s="10">
        <f t="shared" si="22"/>
        <v>22.57080680010948</v>
      </c>
      <c r="I55" s="12">
        <f t="shared" si="23"/>
        <v>3320.2</v>
      </c>
      <c r="J55" s="17">
        <f t="shared" si="14"/>
        <v>2942.0304107019297</v>
      </c>
      <c r="K55" s="12">
        <f t="shared" si="15"/>
        <v>5956.8477883185869</v>
      </c>
      <c r="L55" s="12">
        <f t="shared" si="16"/>
        <v>2511.5379209951275</v>
      </c>
      <c r="M55" s="14">
        <f t="shared" si="17"/>
        <v>0.1369285494862105</v>
      </c>
      <c r="N55" s="14">
        <f t="shared" si="18"/>
        <v>0.05</v>
      </c>
      <c r="O55" s="18">
        <f t="shared" si="19"/>
        <v>2949.3854867286846</v>
      </c>
      <c r="P55" s="12">
        <f t="shared" si="20"/>
        <v>7.3550760267548867</v>
      </c>
      <c r="Q55" s="19">
        <f t="shared" si="21"/>
        <v>2853.7694983808715</v>
      </c>
    </row>
    <row r="56" spans="2:17" ht="17.100000000000001" customHeight="1" x14ac:dyDescent="0.3">
      <c r="B56" s="7" t="s">
        <v>50</v>
      </c>
      <c r="C56" s="7" t="s">
        <v>47</v>
      </c>
      <c r="D56" s="12">
        <f>$C$11-92.5</f>
        <v>2907.5</v>
      </c>
      <c r="E56" s="9">
        <v>64</v>
      </c>
      <c r="F56" s="10">
        <f t="shared" si="12"/>
        <v>1.2471195184866724</v>
      </c>
      <c r="G56" s="11">
        <f t="shared" si="13"/>
        <v>181.3</v>
      </c>
      <c r="H56" s="10">
        <f t="shared" si="22"/>
        <v>23.817926318596154</v>
      </c>
      <c r="I56" s="12">
        <f t="shared" si="23"/>
        <v>3501.5</v>
      </c>
      <c r="J56" s="17">
        <f t="shared" si="14"/>
        <v>2940.2223797007541</v>
      </c>
      <c r="K56" s="12">
        <f t="shared" si="15"/>
        <v>5719.1207713183121</v>
      </c>
      <c r="L56" s="12">
        <f t="shared" si="16"/>
        <v>2533.035726303031</v>
      </c>
      <c r="M56" s="14">
        <f t="shared" si="17"/>
        <v>0.12879252749680792</v>
      </c>
      <c r="N56" s="14">
        <f t="shared" si="18"/>
        <v>0.05</v>
      </c>
      <c r="O56" s="18">
        <f t="shared" si="19"/>
        <v>2947.572935650006</v>
      </c>
      <c r="P56" s="12">
        <f t="shared" si="20"/>
        <v>7.3505559492518842</v>
      </c>
      <c r="Q56" s="19">
        <f t="shared" si="21"/>
        <v>2852.0157083097315</v>
      </c>
    </row>
    <row r="57" spans="2:17" ht="17.100000000000001" customHeight="1" x14ac:dyDescent="0.3">
      <c r="B57" s="7" t="s">
        <v>50</v>
      </c>
      <c r="C57" s="7" t="s">
        <v>48</v>
      </c>
      <c r="D57" s="12">
        <f>$C$11-95</f>
        <v>2905</v>
      </c>
      <c r="E57" s="9">
        <v>66</v>
      </c>
      <c r="F57" s="10">
        <f t="shared" si="12"/>
        <v>1.2874354561101549</v>
      </c>
      <c r="G57" s="11">
        <f t="shared" si="13"/>
        <v>187</v>
      </c>
      <c r="H57" s="10">
        <f t="shared" si="22"/>
        <v>25.10536177470631</v>
      </c>
      <c r="I57" s="12">
        <f t="shared" si="23"/>
        <v>3688.5</v>
      </c>
      <c r="J57" s="17">
        <f t="shared" si="14"/>
        <v>2938.416130466735</v>
      </c>
      <c r="K57" s="12">
        <f t="shared" si="15"/>
        <v>5472.5759555218319</v>
      </c>
      <c r="L57" s="12">
        <f t="shared" si="16"/>
        <v>2552.8591396710226</v>
      </c>
      <c r="M57" s="14">
        <f t="shared" si="17"/>
        <v>0.1212188847948287</v>
      </c>
      <c r="N57" s="14">
        <f t="shared" si="18"/>
        <v>0.05</v>
      </c>
      <c r="O57" s="18">
        <f t="shared" si="19"/>
        <v>2945.7621707929015</v>
      </c>
      <c r="P57" s="12">
        <f t="shared" si="20"/>
        <v>7.3460403261665306</v>
      </c>
      <c r="Q57" s="19">
        <f t="shared" si="21"/>
        <v>2850.263646552733</v>
      </c>
    </row>
    <row r="58" spans="2:17" ht="17.100000000000001" customHeight="1" x14ac:dyDescent="0.3">
      <c r="B58" s="7" t="s">
        <v>50</v>
      </c>
      <c r="C58" s="7" t="s">
        <v>49</v>
      </c>
      <c r="D58" s="12">
        <f>$C$11-97.5</f>
        <v>2902.5</v>
      </c>
      <c r="E58" s="9">
        <v>68</v>
      </c>
      <c r="F58" s="10">
        <f t="shared" si="12"/>
        <v>1.3271317829457365</v>
      </c>
      <c r="G58" s="11">
        <f t="shared" si="13"/>
        <v>192.6</v>
      </c>
      <c r="H58" s="10">
        <f t="shared" si="22"/>
        <v>26.432493557652048</v>
      </c>
      <c r="I58" s="12">
        <f t="shared" si="23"/>
        <v>3881.1</v>
      </c>
      <c r="J58" s="17">
        <f t="shared" si="14"/>
        <v>2936.6128409602466</v>
      </c>
      <c r="K58" s="12">
        <f t="shared" si="15"/>
        <v>5217.2125510850738</v>
      </c>
      <c r="L58" s="12">
        <f t="shared" si="16"/>
        <v>2571.146339144821</v>
      </c>
      <c r="M58" s="14">
        <f t="shared" si="17"/>
        <v>0.11416146799489371</v>
      </c>
      <c r="N58" s="14">
        <f t="shared" si="18"/>
        <v>0.05</v>
      </c>
      <c r="O58" s="18">
        <f t="shared" si="19"/>
        <v>2943.9543730626469</v>
      </c>
      <c r="P58" s="12">
        <f t="shared" si="20"/>
        <v>7.3415321024003788</v>
      </c>
      <c r="Q58" s="19">
        <f t="shared" si="21"/>
        <v>2848.5144557314393</v>
      </c>
    </row>
    <row r="59" spans="2:17" ht="17.100000000000001" customHeight="1" x14ac:dyDescent="0.3">
      <c r="B59" s="7" t="s">
        <v>51</v>
      </c>
      <c r="C59" s="7" t="s">
        <v>30</v>
      </c>
      <c r="D59" s="12">
        <f>$C$11-100</f>
        <v>2900</v>
      </c>
      <c r="E59" s="9">
        <v>70</v>
      </c>
      <c r="F59" s="10">
        <f t="shared" si="12"/>
        <v>1.3675862068965516</v>
      </c>
      <c r="G59" s="11">
        <f t="shared" si="13"/>
        <v>198.3</v>
      </c>
      <c r="H59" s="10">
        <f t="shared" si="22"/>
        <v>27.800079764548599</v>
      </c>
      <c r="I59" s="12">
        <f t="shared" si="23"/>
        <v>4079.4</v>
      </c>
      <c r="J59" s="17">
        <f t="shared" si="14"/>
        <v>2934.8117232398445</v>
      </c>
      <c r="K59" s="12">
        <f t="shared" si="15"/>
        <v>4952.831317190934</v>
      </c>
      <c r="L59" s="12">
        <f t="shared" si="16"/>
        <v>2588.0407287613975</v>
      </c>
      <c r="M59" s="14">
        <f t="shared" si="17"/>
        <v>0.10757216249606982</v>
      </c>
      <c r="N59" s="14">
        <f t="shared" si="18"/>
        <v>0.02</v>
      </c>
      <c r="O59" s="18">
        <f t="shared" si="19"/>
        <v>2937.7465349630838</v>
      </c>
      <c r="P59" s="12">
        <f t="shared" si="20"/>
        <v>2.9348117232393633</v>
      </c>
      <c r="Q59" s="19">
        <f t="shared" si="21"/>
        <v>2846.767371542649</v>
      </c>
    </row>
    <row r="60" spans="2:17" ht="17.100000000000001" customHeight="1" x14ac:dyDescent="0.3">
      <c r="B60" s="7" t="s">
        <v>51</v>
      </c>
      <c r="C60" s="7" t="s">
        <v>31</v>
      </c>
      <c r="D60" s="12">
        <f>$C$11-102.5</f>
        <v>2897.5</v>
      </c>
      <c r="E60" s="9">
        <v>74</v>
      </c>
      <c r="F60" s="10">
        <f t="shared" si="12"/>
        <v>1.4467644521138914</v>
      </c>
      <c r="G60" s="11">
        <f t="shared" si="13"/>
        <v>209.6</v>
      </c>
      <c r="H60" s="10">
        <f t="shared" si="22"/>
        <v>29.246844216662492</v>
      </c>
      <c r="I60" s="12">
        <f t="shared" si="23"/>
        <v>4289</v>
      </c>
      <c r="J60" s="17">
        <f t="shared" si="14"/>
        <v>2932.9660104364175</v>
      </c>
      <c r="K60" s="12">
        <f t="shared" si="15"/>
        <v>4673.7311177795718</v>
      </c>
      <c r="L60" s="12">
        <f t="shared" si="16"/>
        <v>2604.0691247197951</v>
      </c>
      <c r="M60" s="14">
        <f t="shared" si="17"/>
        <v>0.10127036247806898</v>
      </c>
      <c r="N60" s="14">
        <f t="shared" si="18"/>
        <v>0.02</v>
      </c>
      <c r="O60" s="18">
        <f t="shared" si="19"/>
        <v>2935.8989764468538</v>
      </c>
      <c r="P60" s="12">
        <f t="shared" si="20"/>
        <v>2.9329660104363029</v>
      </c>
      <c r="Q60" s="19">
        <f t="shared" si="21"/>
        <v>2844.9770301233248</v>
      </c>
    </row>
    <row r="61" spans="2:17" ht="17.100000000000001" customHeight="1" x14ac:dyDescent="0.3">
      <c r="B61" s="7" t="s">
        <v>51</v>
      </c>
      <c r="C61" s="7" t="s">
        <v>32</v>
      </c>
      <c r="D61" s="12">
        <f>$C$11-105</f>
        <v>2895</v>
      </c>
      <c r="E61" s="9">
        <v>78</v>
      </c>
      <c r="F61" s="10">
        <f t="shared" si="12"/>
        <v>1.5267702936096719</v>
      </c>
      <c r="G61" s="11">
        <f t="shared" si="13"/>
        <v>221</v>
      </c>
      <c r="H61" s="10">
        <f t="shared" si="22"/>
        <v>30.773614510272164</v>
      </c>
      <c r="I61" s="12">
        <f t="shared" si="23"/>
        <v>4510</v>
      </c>
      <c r="J61" s="17">
        <f t="shared" si="14"/>
        <v>2931.082404047514</v>
      </c>
      <c r="K61" s="12">
        <f t="shared" si="15"/>
        <v>4379.6140072379185</v>
      </c>
      <c r="L61" s="12">
        <f t="shared" si="16"/>
        <v>2619.2248248405067</v>
      </c>
      <c r="M61" s="14">
        <f t="shared" si="17"/>
        <v>9.5259127861655718E-2</v>
      </c>
      <c r="N61" s="14">
        <f t="shared" si="18"/>
        <v>0.02</v>
      </c>
      <c r="O61" s="18">
        <f t="shared" si="19"/>
        <v>2934.0134864515612</v>
      </c>
      <c r="P61" s="12">
        <f t="shared" si="20"/>
        <v>2.9310824040471744</v>
      </c>
      <c r="Q61" s="19">
        <f t="shared" si="21"/>
        <v>2843.1499319260884</v>
      </c>
    </row>
    <row r="62" spans="2:17" ht="17.100000000000001" customHeight="1" x14ac:dyDescent="0.3">
      <c r="B62" s="7" t="s">
        <v>51</v>
      </c>
      <c r="C62" s="7" t="s">
        <v>33</v>
      </c>
      <c r="D62" s="12">
        <f>$C$11-107.5</f>
        <v>2892.5</v>
      </c>
      <c r="E62" s="9">
        <v>82</v>
      </c>
      <c r="F62" s="10">
        <f t="shared" si="12"/>
        <v>1.6062229904926535</v>
      </c>
      <c r="G62" s="11">
        <f t="shared" si="13"/>
        <v>232.3</v>
      </c>
      <c r="H62" s="10">
        <f t="shared" si="22"/>
        <v>32.379837500764815</v>
      </c>
      <c r="I62" s="12">
        <f t="shared" si="23"/>
        <v>4742.3</v>
      </c>
      <c r="J62" s="17">
        <f t="shared" si="14"/>
        <v>2929.1684986918085</v>
      </c>
      <c r="K62" s="12">
        <f t="shared" si="15"/>
        <v>4070.3799709622331</v>
      </c>
      <c r="L62" s="12">
        <f t="shared" si="16"/>
        <v>2633.5018453082444</v>
      </c>
      <c r="M62" s="14">
        <f t="shared" si="17"/>
        <v>8.9541280792309649E-2</v>
      </c>
      <c r="N62" s="14">
        <f t="shared" si="18"/>
        <v>0.02</v>
      </c>
      <c r="O62" s="18">
        <f t="shared" si="19"/>
        <v>2932.0976671905</v>
      </c>
      <c r="P62" s="12">
        <f t="shared" si="20"/>
        <v>2.9291684986915243</v>
      </c>
      <c r="Q62" s="19">
        <f t="shared" si="21"/>
        <v>2841.2934437310541</v>
      </c>
    </row>
    <row r="63" spans="2:17" ht="17.100000000000001" customHeight="1" x14ac:dyDescent="0.3">
      <c r="B63" s="7" t="s">
        <v>51</v>
      </c>
      <c r="C63" s="7" t="s">
        <v>34</v>
      </c>
      <c r="D63" s="12">
        <f>$C$11-110</f>
        <v>2890</v>
      </c>
      <c r="E63" s="9">
        <v>86</v>
      </c>
      <c r="F63" s="10">
        <f t="shared" si="12"/>
        <v>1.6858131487889274</v>
      </c>
      <c r="G63" s="11">
        <f t="shared" si="13"/>
        <v>243.6</v>
      </c>
      <c r="H63" s="10">
        <f t="shared" si="22"/>
        <v>34.065650649553746</v>
      </c>
      <c r="I63" s="12">
        <f t="shared" si="23"/>
        <v>4985.9000000000005</v>
      </c>
      <c r="J63" s="17">
        <f t="shared" si="14"/>
        <v>2927.2301599589823</v>
      </c>
      <c r="K63" s="12">
        <f t="shared" si="15"/>
        <v>3745.8303772103036</v>
      </c>
      <c r="L63" s="12">
        <f t="shared" si="16"/>
        <v>2646.913900124985</v>
      </c>
      <c r="M63" s="14">
        <f t="shared" si="17"/>
        <v>8.4112837326994788E-2</v>
      </c>
      <c r="N63" s="14">
        <f t="shared" si="18"/>
        <v>0.02</v>
      </c>
      <c r="O63" s="18">
        <f t="shared" si="19"/>
        <v>2930.1573901189408</v>
      </c>
      <c r="P63" s="12">
        <f t="shared" si="20"/>
        <v>2.9272301599585262</v>
      </c>
      <c r="Q63" s="19">
        <f t="shared" si="21"/>
        <v>2839.4132551602129</v>
      </c>
    </row>
    <row r="64" spans="2:17" ht="17.100000000000001" customHeight="1" x14ac:dyDescent="0.3">
      <c r="B64" s="7" t="s">
        <v>51</v>
      </c>
      <c r="C64" s="7" t="s">
        <v>35</v>
      </c>
      <c r="D64" s="12">
        <f>$C$11-112.5</f>
        <v>2887.5</v>
      </c>
      <c r="E64" s="9">
        <v>90</v>
      </c>
      <c r="F64" s="10">
        <f t="shared" si="12"/>
        <v>1.7662337662337662</v>
      </c>
      <c r="G64" s="11">
        <f t="shared" si="13"/>
        <v>255</v>
      </c>
      <c r="H64" s="10">
        <f t="shared" si="22"/>
        <v>35.831884415787513</v>
      </c>
      <c r="I64" s="12">
        <f t="shared" si="23"/>
        <v>5240.9000000000005</v>
      </c>
      <c r="J64" s="17">
        <f t="shared" si="14"/>
        <v>2925.2717714677951</v>
      </c>
      <c r="K64" s="12">
        <f t="shared" si="15"/>
        <v>3405.6662505864233</v>
      </c>
      <c r="L64" s="12">
        <f t="shared" si="16"/>
        <v>2659.48816021025</v>
      </c>
      <c r="M64" s="14">
        <f t="shared" si="17"/>
        <v>7.8965139321125533E-2</v>
      </c>
      <c r="N64" s="14">
        <f t="shared" si="18"/>
        <v>0.02</v>
      </c>
      <c r="O64" s="18">
        <f t="shared" si="19"/>
        <v>2928.1970432392627</v>
      </c>
      <c r="P64" s="12">
        <f t="shared" si="20"/>
        <v>2.9252717714675782</v>
      </c>
      <c r="Q64" s="19">
        <f t="shared" si="21"/>
        <v>2837.5136183237614</v>
      </c>
    </row>
    <row r="65" spans="2:17" ht="17.100000000000001" customHeight="1" x14ac:dyDescent="0.3">
      <c r="B65" s="7" t="s">
        <v>51</v>
      </c>
      <c r="C65" s="7" t="s">
        <v>36</v>
      </c>
      <c r="D65" s="12">
        <f>$C$11-115</f>
        <v>2885</v>
      </c>
      <c r="E65" s="9">
        <v>94</v>
      </c>
      <c r="F65" s="10">
        <f t="shared" si="12"/>
        <v>1.8461005199306759</v>
      </c>
      <c r="G65" s="11">
        <f t="shared" si="13"/>
        <v>266.3</v>
      </c>
      <c r="H65" s="10">
        <f t="shared" si="22"/>
        <v>37.677984935718186</v>
      </c>
      <c r="I65" s="12">
        <f t="shared" si="23"/>
        <v>5507.2000000000007</v>
      </c>
      <c r="J65" s="17">
        <f t="shared" si="14"/>
        <v>2923.2985837197757</v>
      </c>
      <c r="K65" s="12">
        <f t="shared" si="15"/>
        <v>3049.7865395469485</v>
      </c>
      <c r="L65" s="12">
        <f t="shared" si="16"/>
        <v>2671.2478481165376</v>
      </c>
      <c r="M65" s="14">
        <f t="shared" si="17"/>
        <v>7.4090867203973093E-2</v>
      </c>
      <c r="N65" s="14">
        <f t="shared" si="18"/>
        <v>0.02</v>
      </c>
      <c r="O65" s="18">
        <f t="shared" si="19"/>
        <v>2926.221882303495</v>
      </c>
      <c r="P65" s="12">
        <f t="shared" si="20"/>
        <v>2.9232985837193155</v>
      </c>
      <c r="Q65" s="19">
        <f t="shared" si="21"/>
        <v>2835.5996262081821</v>
      </c>
    </row>
    <row r="66" spans="2:17" ht="17.100000000000001" customHeight="1" x14ac:dyDescent="0.3">
      <c r="B66" s="7" t="s">
        <v>51</v>
      </c>
      <c r="C66" s="7" t="s">
        <v>37</v>
      </c>
      <c r="D66" s="12">
        <f>$C$11-117.5</f>
        <v>2882.5</v>
      </c>
      <c r="E66" s="9">
        <v>98</v>
      </c>
      <c r="F66" s="10">
        <f t="shared" si="12"/>
        <v>1.9261058109280138</v>
      </c>
      <c r="G66" s="11">
        <f t="shared" si="13"/>
        <v>277.60000000000002</v>
      </c>
      <c r="H66" s="10">
        <f t="shared" si="22"/>
        <v>39.6040907466462</v>
      </c>
      <c r="I66" s="12">
        <f t="shared" si="23"/>
        <v>5784.8000000000011</v>
      </c>
      <c r="J66" s="17">
        <f t="shared" si="14"/>
        <v>2921.3143849236717</v>
      </c>
      <c r="K66" s="12">
        <f t="shared" si="15"/>
        <v>2677.9915772076492</v>
      </c>
      <c r="L66" s="12">
        <f t="shared" si="16"/>
        <v>2682.2263477261531</v>
      </c>
      <c r="M66" s="14">
        <f t="shared" si="17"/>
        <v>6.947915083221054E-2</v>
      </c>
      <c r="N66" s="14">
        <f t="shared" si="18"/>
        <v>0.02</v>
      </c>
      <c r="O66" s="18">
        <f t="shared" si="19"/>
        <v>2924.235699308595</v>
      </c>
      <c r="P66" s="12">
        <f t="shared" si="20"/>
        <v>2.9213143849233347</v>
      </c>
      <c r="Q66" s="19">
        <f t="shared" si="21"/>
        <v>2833.6749533759616</v>
      </c>
    </row>
    <row r="67" spans="2:17" ht="17.100000000000001" customHeight="1" x14ac:dyDescent="0.3">
      <c r="B67" s="7" t="s">
        <v>51</v>
      </c>
      <c r="C67" s="7" t="s">
        <v>38</v>
      </c>
      <c r="D67" s="12">
        <f>$C$11-120</f>
        <v>2880</v>
      </c>
      <c r="E67" s="9">
        <v>102</v>
      </c>
      <c r="F67" s="10">
        <f t="shared" si="12"/>
        <v>2.0069444444444446</v>
      </c>
      <c r="G67" s="11">
        <f t="shared" si="13"/>
        <v>289</v>
      </c>
      <c r="H67" s="10">
        <f t="shared" si="22"/>
        <v>41.611035191090643</v>
      </c>
      <c r="I67" s="12">
        <f t="shared" si="23"/>
        <v>6073.8000000000011</v>
      </c>
      <c r="J67" s="17">
        <f t="shared" si="14"/>
        <v>2919.321748236855</v>
      </c>
      <c r="K67" s="12">
        <f t="shared" si="15"/>
        <v>2289.9813503410187</v>
      </c>
      <c r="L67" s="12">
        <f t="shared" si="16"/>
        <v>2692.4631985245769</v>
      </c>
      <c r="M67" s="14">
        <f t="shared" si="17"/>
        <v>6.5116944956744124E-2</v>
      </c>
      <c r="N67" s="14">
        <f t="shared" si="18"/>
        <v>0.02</v>
      </c>
      <c r="O67" s="18">
        <f t="shared" si="19"/>
        <v>2922.2410699850916</v>
      </c>
      <c r="P67" s="12">
        <f t="shared" si="20"/>
        <v>2.9193217482365981</v>
      </c>
      <c r="Q67" s="19">
        <f t="shared" si="21"/>
        <v>2831.7420957897493</v>
      </c>
    </row>
    <row r="68" spans="2:17" ht="17.100000000000001" customHeight="1" x14ac:dyDescent="0.3">
      <c r="B68" s="7" t="s">
        <v>51</v>
      </c>
      <c r="C68" s="7" t="s">
        <v>39</v>
      </c>
      <c r="D68" s="12">
        <f>$C$11-122.5</f>
        <v>2877.5</v>
      </c>
      <c r="E68" s="9">
        <v>106</v>
      </c>
      <c r="F68" s="10">
        <f t="shared" si="12"/>
        <v>2.0872284969591659</v>
      </c>
      <c r="G68" s="11">
        <f t="shared" si="13"/>
        <v>300.3</v>
      </c>
      <c r="H68" s="10">
        <f t="shared" si="22"/>
        <v>43.698263688049806</v>
      </c>
      <c r="I68" s="12">
        <f t="shared" si="23"/>
        <v>6374.1000000000013</v>
      </c>
      <c r="J68" s="17">
        <f t="shared" si="14"/>
        <v>2917.3241506815893</v>
      </c>
      <c r="K68" s="12">
        <f t="shared" si="15"/>
        <v>1885.6537623632792</v>
      </c>
      <c r="L68" s="12">
        <f t="shared" si="16"/>
        <v>2701.9920665940463</v>
      </c>
      <c r="M68" s="14">
        <f t="shared" si="17"/>
        <v>6.0993200141078625E-2</v>
      </c>
      <c r="N68" s="14">
        <f t="shared" si="18"/>
        <v>0.02</v>
      </c>
      <c r="O68" s="18">
        <f t="shared" si="19"/>
        <v>2920.2414748322708</v>
      </c>
      <c r="P68" s="12">
        <f t="shared" si="20"/>
        <v>2.917324150681452</v>
      </c>
      <c r="Q68" s="19">
        <f t="shared" si="21"/>
        <v>2829.8044261611417</v>
      </c>
    </row>
    <row r="69" spans="2:17" ht="17.100000000000001" customHeight="1" x14ac:dyDescent="0.3">
      <c r="B69" s="7" t="s">
        <v>51</v>
      </c>
      <c r="C69" s="7" t="s">
        <v>40</v>
      </c>
      <c r="D69" s="12">
        <f>$C$11-125</f>
        <v>2875</v>
      </c>
      <c r="E69" s="9">
        <v>110</v>
      </c>
      <c r="F69" s="10">
        <f t="shared" si="12"/>
        <v>2.1676521739130434</v>
      </c>
      <c r="G69" s="11">
        <f t="shared" si="13"/>
        <v>311.60000000000002</v>
      </c>
      <c r="H69" s="10">
        <f t="shared" si="22"/>
        <v>45.865915861962847</v>
      </c>
      <c r="I69" s="12">
        <f t="shared" si="23"/>
        <v>6685.7000000000016</v>
      </c>
      <c r="J69" s="17">
        <f t="shared" si="14"/>
        <v>2915.3238845687292</v>
      </c>
      <c r="K69" s="12">
        <f t="shared" si="15"/>
        <v>1464.8081031431616</v>
      </c>
      <c r="L69" s="12">
        <f t="shared" si="16"/>
        <v>2710.8513163927223</v>
      </c>
      <c r="M69" s="14">
        <f t="shared" si="17"/>
        <v>5.7095194298183542E-2</v>
      </c>
      <c r="N69" s="14">
        <f t="shared" si="18"/>
        <v>0.02</v>
      </c>
      <c r="O69" s="18">
        <f t="shared" si="19"/>
        <v>2918.2392084532976</v>
      </c>
      <c r="P69" s="12">
        <f t="shared" si="20"/>
        <v>2.9153238845683518</v>
      </c>
      <c r="Q69" s="19">
        <f t="shared" si="21"/>
        <v>2827.8641680316673</v>
      </c>
    </row>
    <row r="70" spans="2:17" ht="17.100000000000001" customHeight="1" x14ac:dyDescent="0.3">
      <c r="B70" s="7" t="s">
        <v>51</v>
      </c>
      <c r="C70" s="7" t="s">
        <v>41</v>
      </c>
      <c r="D70" s="12">
        <f>$C$11-127.5</f>
        <v>2872.5</v>
      </c>
      <c r="E70" s="9">
        <v>114</v>
      </c>
      <c r="F70" s="10">
        <f t="shared" si="12"/>
        <v>2.2482158398607486</v>
      </c>
      <c r="G70" s="11">
        <f t="shared" si="13"/>
        <v>322.89999999999998</v>
      </c>
      <c r="H70" s="10">
        <f t="shared" si="22"/>
        <v>48.114131701823595</v>
      </c>
      <c r="I70" s="12">
        <f t="shared" si="23"/>
        <v>7008.6000000000013</v>
      </c>
      <c r="J70" s="17">
        <f t="shared" si="14"/>
        <v>2913.3228646561506</v>
      </c>
      <c r="K70" s="12">
        <f t="shared" si="15"/>
        <v>1027.2433134882485</v>
      </c>
      <c r="L70" s="12">
        <f t="shared" si="16"/>
        <v>2719.0791151346471</v>
      </c>
      <c r="M70" s="14">
        <f t="shared" si="17"/>
        <v>5.3410229718138538E-2</v>
      </c>
      <c r="N70" s="14">
        <f t="shared" si="18"/>
        <v>0.02</v>
      </c>
      <c r="O70" s="18">
        <f t="shared" si="19"/>
        <v>2916.2361875208067</v>
      </c>
      <c r="P70" s="12">
        <f t="shared" si="20"/>
        <v>2.9133228646560383</v>
      </c>
      <c r="Q70" s="19">
        <f t="shared" si="21"/>
        <v>2825.9231787164658</v>
      </c>
    </row>
    <row r="71" spans="2:17" ht="17.100000000000001" customHeight="1" x14ac:dyDescent="0.3">
      <c r="B71" s="7" t="s">
        <v>51</v>
      </c>
      <c r="C71" s="7" t="s">
        <v>42</v>
      </c>
      <c r="D71" s="12">
        <f>$C$11-130</f>
        <v>2870</v>
      </c>
      <c r="E71" s="9">
        <v>118</v>
      </c>
      <c r="F71" s="10">
        <f t="shared" si="12"/>
        <v>2.3296167247386759</v>
      </c>
      <c r="G71" s="11">
        <f t="shared" si="13"/>
        <v>334.3</v>
      </c>
      <c r="H71" s="10">
        <f t="shared" si="22"/>
        <v>50.443748426562273</v>
      </c>
      <c r="I71" s="12">
        <f t="shared" si="23"/>
        <v>7342.9000000000015</v>
      </c>
      <c r="J71" s="17">
        <f t="shared" si="14"/>
        <v>2911.3221079079981</v>
      </c>
      <c r="K71" s="12">
        <f t="shared" si="15"/>
        <v>572.65798423368369</v>
      </c>
      <c r="L71" s="12">
        <f t="shared" si="16"/>
        <v>2726.7150624910414</v>
      </c>
      <c r="M71" s="14">
        <f t="shared" si="17"/>
        <v>4.9925065334131914E-2</v>
      </c>
      <c r="N71" s="14">
        <f t="shared" si="18"/>
        <v>0.02</v>
      </c>
      <c r="O71" s="18">
        <f t="shared" si="19"/>
        <v>2914.2334300159059</v>
      </c>
      <c r="P71" s="12">
        <f t="shared" si="20"/>
        <v>2.9113221079078357</v>
      </c>
      <c r="Q71" s="19">
        <f t="shared" si="21"/>
        <v>2823.982444670758</v>
      </c>
    </row>
    <row r="72" spans="2:17" ht="17.100000000000001" customHeight="1" x14ac:dyDescent="0.3">
      <c r="B72" s="7" t="s">
        <v>51</v>
      </c>
      <c r="C72" s="7" t="s">
        <v>43</v>
      </c>
      <c r="D72" s="12">
        <f>$C$11-132.5</f>
        <v>2867.5</v>
      </c>
      <c r="E72" s="9">
        <v>122</v>
      </c>
      <c r="F72" s="10">
        <f t="shared" si="12"/>
        <v>2.410462074978204</v>
      </c>
      <c r="G72" s="11">
        <f t="shared" si="13"/>
        <v>345.6</v>
      </c>
      <c r="H72" s="10">
        <f t="shared" si="22"/>
        <v>52.854210501540479</v>
      </c>
      <c r="I72" s="12">
        <f t="shared" si="23"/>
        <v>7688.5000000000018</v>
      </c>
      <c r="J72" s="17">
        <f t="shared" si="14"/>
        <v>2909.323562699291</v>
      </c>
      <c r="K72" s="12">
        <f t="shared" si="15"/>
        <v>100.94861316729748</v>
      </c>
      <c r="L72" s="12">
        <f t="shared" si="16"/>
        <v>2733.7928414869893</v>
      </c>
      <c r="M72" s="14">
        <f t="shared" si="17"/>
        <v>4.6628477249524201E-2</v>
      </c>
      <c r="N72" s="14">
        <f t="shared" si="18"/>
        <v>0.02</v>
      </c>
      <c r="O72" s="18">
        <f t="shared" si="19"/>
        <v>2912.2328862619897</v>
      </c>
      <c r="P72" s="12">
        <f t="shared" si="20"/>
        <v>2.9093235626987735</v>
      </c>
      <c r="Q72" s="19">
        <f t="shared" si="21"/>
        <v>2822.0438558183123</v>
      </c>
    </row>
    <row r="73" spans="2:17" ht="17.100000000000001" customHeight="1" x14ac:dyDescent="0.3">
      <c r="B73" s="7" t="s">
        <v>51</v>
      </c>
      <c r="C73" s="7" t="s">
        <v>44</v>
      </c>
      <c r="D73" s="12">
        <f>$C$11-135</f>
        <v>2865</v>
      </c>
      <c r="E73" s="9">
        <v>126</v>
      </c>
      <c r="F73" s="10">
        <f t="shared" si="12"/>
        <v>2.4914485165794065</v>
      </c>
      <c r="G73" s="11">
        <f t="shared" si="13"/>
        <v>356.9</v>
      </c>
      <c r="H73" s="10">
        <f t="shared" si="22"/>
        <v>55.345659018119882</v>
      </c>
      <c r="I73" s="12">
        <f t="shared" si="23"/>
        <v>8045.4000000000015</v>
      </c>
      <c r="J73" s="17">
        <f t="shared" si="14"/>
        <v>2907.3282865295646</v>
      </c>
      <c r="K73" s="12">
        <f t="shared" si="15"/>
        <v>-388.08691308656034</v>
      </c>
      <c r="L73" s="12">
        <f t="shared" si="16"/>
        <v>2740.347379523238</v>
      </c>
      <c r="M73" s="14">
        <f t="shared" si="17"/>
        <v>4.3508768054716221E-2</v>
      </c>
      <c r="N73" s="14">
        <f t="shared" si="18"/>
        <v>0.02</v>
      </c>
      <c r="O73" s="18">
        <f t="shared" si="19"/>
        <v>2910.2356148160939</v>
      </c>
      <c r="P73" s="12">
        <f t="shared" si="20"/>
        <v>2.907328286529264</v>
      </c>
      <c r="Q73" s="19">
        <f t="shared" si="21"/>
        <v>2820.1084379336776</v>
      </c>
    </row>
    <row r="74" spans="2:17" ht="17.100000000000001" customHeight="1" x14ac:dyDescent="0.3">
      <c r="B74" s="7" t="s">
        <v>51</v>
      </c>
      <c r="C74" s="7" t="s">
        <v>45</v>
      </c>
      <c r="D74" s="12">
        <f>$C$11-137.5</f>
        <v>2862.5</v>
      </c>
      <c r="E74" s="9">
        <v>130</v>
      </c>
      <c r="F74" s="10">
        <f t="shared" si="12"/>
        <v>2.5732751091703059</v>
      </c>
      <c r="G74" s="11">
        <f t="shared" si="13"/>
        <v>368.3</v>
      </c>
      <c r="H74" s="10">
        <f t="shared" si="22"/>
        <v>57.918934127290186</v>
      </c>
      <c r="I74" s="12">
        <f t="shared" si="23"/>
        <v>8413.7000000000007</v>
      </c>
      <c r="J74" s="17">
        <f t="shared" si="14"/>
        <v>2905.3366146237977</v>
      </c>
      <c r="K74" s="12">
        <f t="shared" si="15"/>
        <v>-894.75106063185422</v>
      </c>
      <c r="L74" s="12">
        <f t="shared" si="16"/>
        <v>2746.4135714941999</v>
      </c>
      <c r="M74" s="14">
        <f t="shared" si="17"/>
        <v>4.0554210831720554E-2</v>
      </c>
      <c r="N74" s="14">
        <f t="shared" si="18"/>
        <v>0.02</v>
      </c>
      <c r="O74" s="18">
        <f t="shared" si="19"/>
        <v>2908.2419512384213</v>
      </c>
      <c r="P74" s="12">
        <f t="shared" si="20"/>
        <v>2.9053366146235931</v>
      </c>
      <c r="Q74" s="19">
        <f t="shared" si="21"/>
        <v>2818.1765161850835</v>
      </c>
    </row>
    <row r="75" spans="2:17" ht="17.100000000000001" customHeight="1" x14ac:dyDescent="0.3">
      <c r="B75" s="7" t="s">
        <v>51</v>
      </c>
      <c r="C75" s="7" t="s">
        <v>46</v>
      </c>
      <c r="D75" s="12">
        <f>$C$11-140</f>
        <v>2860</v>
      </c>
      <c r="E75" s="9">
        <v>134</v>
      </c>
      <c r="F75" s="10">
        <f t="shared" si="12"/>
        <v>2.6545454545454548</v>
      </c>
      <c r="G75" s="11">
        <f t="shared" si="13"/>
        <v>379.6</v>
      </c>
      <c r="H75" s="10">
        <f t="shared" si="22"/>
        <v>60.573479581835642</v>
      </c>
      <c r="I75" s="12">
        <f t="shared" si="23"/>
        <v>8793.3000000000011</v>
      </c>
      <c r="J75" s="17">
        <f t="shared" si="14"/>
        <v>2903.3498028192771</v>
      </c>
      <c r="K75" s="12">
        <f t="shared" si="15"/>
        <v>-1419.1483959500838</v>
      </c>
      <c r="L75" s="12">
        <f t="shared" si="16"/>
        <v>2752.0211590655576</v>
      </c>
      <c r="M75" s="14">
        <f t="shared" si="17"/>
        <v>3.7754839487567256E-2</v>
      </c>
      <c r="N75" s="14">
        <f t="shared" si="18"/>
        <v>0.02</v>
      </c>
      <c r="O75" s="18">
        <f t="shared" si="19"/>
        <v>2906.253152622096</v>
      </c>
      <c r="P75" s="12">
        <f t="shared" si="20"/>
        <v>2.903349802818866</v>
      </c>
      <c r="Q75" s="19">
        <f t="shared" si="21"/>
        <v>2816.2493087346988</v>
      </c>
    </row>
    <row r="76" spans="2:17" ht="17.100000000000001" customHeight="1" x14ac:dyDescent="0.3">
      <c r="B76" s="7" t="s">
        <v>51</v>
      </c>
      <c r="C76" s="7" t="s">
        <v>47</v>
      </c>
      <c r="D76" s="12">
        <f>$C$11-142.5</f>
        <v>2857.5</v>
      </c>
      <c r="E76" s="9">
        <v>138</v>
      </c>
      <c r="F76" s="10">
        <f t="shared" si="12"/>
        <v>2.7359580052493437</v>
      </c>
      <c r="G76" s="11">
        <f t="shared" si="13"/>
        <v>390.9</v>
      </c>
      <c r="H76" s="10">
        <f t="shared" si="22"/>
        <v>63.309437587084986</v>
      </c>
      <c r="I76" s="12">
        <f t="shared" si="23"/>
        <v>9184.2000000000007</v>
      </c>
      <c r="J76" s="17">
        <f t="shared" si="14"/>
        <v>2901.3683741438135</v>
      </c>
      <c r="K76" s="12">
        <f t="shared" si="15"/>
        <v>-1961.4820949046557</v>
      </c>
      <c r="L76" s="12">
        <f t="shared" si="16"/>
        <v>2757.200041139005</v>
      </c>
      <c r="M76" s="14">
        <f t="shared" si="17"/>
        <v>3.5100598026594945E-2</v>
      </c>
      <c r="N76" s="14">
        <f t="shared" si="18"/>
        <v>0.02</v>
      </c>
      <c r="O76" s="18">
        <f t="shared" si="19"/>
        <v>2904.2697425179572</v>
      </c>
      <c r="P76" s="12">
        <f t="shared" si="20"/>
        <v>2.901368374143658</v>
      </c>
      <c r="Q76" s="19">
        <f t="shared" si="21"/>
        <v>2814.3273229194992</v>
      </c>
    </row>
    <row r="77" spans="2:17" ht="17.100000000000001" customHeight="1" x14ac:dyDescent="0.3">
      <c r="B77" s="7" t="s">
        <v>51</v>
      </c>
      <c r="C77" s="7" t="s">
        <v>48</v>
      </c>
      <c r="D77" s="12">
        <f>$C$11-145</f>
        <v>2855</v>
      </c>
      <c r="E77" s="9">
        <v>142</v>
      </c>
      <c r="F77" s="10">
        <f t="shared" si="12"/>
        <v>2.8182136602451839</v>
      </c>
      <c r="G77" s="11">
        <f t="shared" si="13"/>
        <v>402.3</v>
      </c>
      <c r="H77" s="10">
        <f t="shared" si="22"/>
        <v>66.127651247330164</v>
      </c>
      <c r="I77" s="12">
        <f t="shared" si="23"/>
        <v>9586.5</v>
      </c>
      <c r="J77" s="17">
        <f t="shared" si="14"/>
        <v>2899.3922569984052</v>
      </c>
      <c r="K77" s="12">
        <f t="shared" si="15"/>
        <v>-2522.0556888723891</v>
      </c>
      <c r="L77" s="12">
        <f t="shared" si="16"/>
        <v>2761.9794841537796</v>
      </c>
      <c r="M77" s="14">
        <f t="shared" si="17"/>
        <v>3.2581616758746199E-2</v>
      </c>
      <c r="N77" s="14">
        <f t="shared" si="18"/>
        <v>0.02</v>
      </c>
      <c r="O77" s="18">
        <f t="shared" si="19"/>
        <v>2902.2916492554032</v>
      </c>
      <c r="P77" s="12">
        <f t="shared" si="20"/>
        <v>2.8993922569979986</v>
      </c>
      <c r="Q77" s="19">
        <f t="shared" si="21"/>
        <v>2812.4104892884529</v>
      </c>
    </row>
    <row r="78" spans="2:17" ht="17.100000000000001" customHeight="1" x14ac:dyDescent="0.3">
      <c r="B78" s="7" t="s">
        <v>51</v>
      </c>
      <c r="C78" s="7" t="s">
        <v>49</v>
      </c>
      <c r="D78" s="12">
        <f>$C$11-147.5</f>
        <v>2852.5</v>
      </c>
      <c r="E78" s="9">
        <v>146</v>
      </c>
      <c r="F78" s="10">
        <f t="shared" si="12"/>
        <v>2.8999123575810692</v>
      </c>
      <c r="G78" s="11">
        <f t="shared" si="13"/>
        <v>413.6</v>
      </c>
      <c r="H78" s="10">
        <f t="shared" si="22"/>
        <v>69.027563604911236</v>
      </c>
      <c r="I78" s="12">
        <f t="shared" si="23"/>
        <v>10000.1</v>
      </c>
      <c r="J78" s="17">
        <f t="shared" si="14"/>
        <v>2897.4222695261124</v>
      </c>
      <c r="K78" s="12">
        <f t="shared" si="15"/>
        <v>-3100.974816990687</v>
      </c>
      <c r="L78" s="12">
        <f t="shared" si="16"/>
        <v>2766.3845273833713</v>
      </c>
      <c r="M78" s="14">
        <f t="shared" si="17"/>
        <v>3.0189473309948721E-2</v>
      </c>
      <c r="N78" s="14">
        <f t="shared" si="18"/>
        <v>0.02</v>
      </c>
      <c r="O78" s="18">
        <f t="shared" si="19"/>
        <v>2900.3196917956379</v>
      </c>
      <c r="P78" s="12">
        <f t="shared" si="20"/>
        <v>2.8974222695255776</v>
      </c>
      <c r="Q78" s="19">
        <f t="shared" si="21"/>
        <v>2810.4996014403291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78"/>
  <sheetViews>
    <sheetView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52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54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55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56</v>
      </c>
      <c r="C11" s="2">
        <v>3000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57</v>
      </c>
      <c r="G18" s="6" t="s">
        <v>18</v>
      </c>
      <c r="H18" s="6" t="s">
        <v>58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53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12">
        <f>$C$11+0</f>
        <v>3000</v>
      </c>
      <c r="E19" s="9">
        <v>10</v>
      </c>
      <c r="F19" s="10">
        <f t="shared" ref="F19:F50" si="0">(G19*$C$13)/D19</f>
        <v>0.18866666666666668</v>
      </c>
      <c r="G19" s="11">
        <f t="shared" ref="G19:G50" si="1">ROUND($C$12*E19/SUM($E$19:$E$78), 1)</f>
        <v>28.3</v>
      </c>
      <c r="H19" s="10">
        <f>F19</f>
        <v>0.18866666666666668</v>
      </c>
      <c r="I19" s="12">
        <f>G19</f>
        <v>28.3</v>
      </c>
      <c r="J19" s="17">
        <f t="shared" ref="J19:J50" si="2">I19*$C$13/H19</f>
        <v>3000</v>
      </c>
      <c r="K19" s="12">
        <f t="shared" ref="K19:K50" si="3">$C$12-I19+H19*(J19-D19)</f>
        <v>9971.7000000000007</v>
      </c>
      <c r="L19" s="12">
        <f t="shared" ref="L19:L50" si="4">(J19*H19+$C$12)/(H19*(1+$C$14))</f>
        <v>55724.909023785665</v>
      </c>
      <c r="M19" s="14">
        <f t="shared" ref="M19:M50" si="5">(L19-D19)/D19</f>
        <v>17.574969674595224</v>
      </c>
      <c r="N19" s="14">
        <f t="shared" ref="N19:N50" si="6">IF(B19="1차",0.1,IF(B19="2차",0.05,0.02))</f>
        <v>0.1</v>
      </c>
      <c r="O19" s="18">
        <f t="shared" ref="O19:O50" si="7">J19*(1-N19/$C$13)</f>
        <v>2985</v>
      </c>
      <c r="P19" s="12">
        <f t="shared" ref="P19:P50" si="8">J19-O19</f>
        <v>15</v>
      </c>
      <c r="Q19" s="19">
        <f t="shared" ref="Q19:Q50" si="9">J19*(1+$C$15)</f>
        <v>3090</v>
      </c>
    </row>
    <row r="20" spans="2:17" ht="17.100000000000001" customHeight="1" x14ac:dyDescent="0.3">
      <c r="B20" s="7" t="s">
        <v>29</v>
      </c>
      <c r="C20" s="7" t="s">
        <v>31</v>
      </c>
      <c r="D20" s="12">
        <f>$C$11+2.5</f>
        <v>3002.5</v>
      </c>
      <c r="E20" s="9">
        <v>11</v>
      </c>
      <c r="F20" s="10">
        <f t="shared" si="0"/>
        <v>0.20782681099084097</v>
      </c>
      <c r="G20" s="11">
        <f t="shared" si="1"/>
        <v>31.2</v>
      </c>
      <c r="H20" s="10">
        <f t="shared" ref="H20:H51" si="10">H19+F20</f>
        <v>0.39649347765750764</v>
      </c>
      <c r="I20" s="12">
        <f t="shared" ref="I20:I51" si="11">I19+G20</f>
        <v>59.5</v>
      </c>
      <c r="J20" s="17">
        <f t="shared" si="2"/>
        <v>3001.3104049795388</v>
      </c>
      <c r="K20" s="12">
        <f t="shared" si="3"/>
        <v>9940.0283333333336</v>
      </c>
      <c r="L20" s="12">
        <f t="shared" si="4"/>
        <v>28081.996263824611</v>
      </c>
      <c r="M20" s="14">
        <f t="shared" si="5"/>
        <v>8.3528713618066988</v>
      </c>
      <c r="N20" s="14">
        <f t="shared" si="6"/>
        <v>0.1</v>
      </c>
      <c r="O20" s="18">
        <f t="shared" si="7"/>
        <v>2986.3038529546411</v>
      </c>
      <c r="P20" s="12">
        <f t="shared" si="8"/>
        <v>15.006552024897701</v>
      </c>
      <c r="Q20" s="19">
        <f t="shared" si="9"/>
        <v>3091.349717128925</v>
      </c>
    </row>
    <row r="21" spans="2:17" ht="17.100000000000001" customHeight="1" x14ac:dyDescent="0.3">
      <c r="B21" s="7" t="s">
        <v>29</v>
      </c>
      <c r="C21" s="7" t="s">
        <v>32</v>
      </c>
      <c r="D21" s="12">
        <f>$C$11+5</f>
        <v>3005</v>
      </c>
      <c r="E21" s="9">
        <v>12</v>
      </c>
      <c r="F21" s="10">
        <f t="shared" si="0"/>
        <v>0.22628951747088186</v>
      </c>
      <c r="G21" s="11">
        <f t="shared" si="1"/>
        <v>34</v>
      </c>
      <c r="H21" s="10">
        <f t="shared" si="10"/>
        <v>0.62278299512838953</v>
      </c>
      <c r="I21" s="12">
        <f t="shared" si="11"/>
        <v>93.5</v>
      </c>
      <c r="J21" s="17">
        <f t="shared" si="2"/>
        <v>3002.6510271278216</v>
      </c>
      <c r="K21" s="12">
        <f t="shared" si="3"/>
        <v>9905.0370996391903</v>
      </c>
      <c r="L21" s="12">
        <f t="shared" si="4"/>
        <v>18964.784469102215</v>
      </c>
      <c r="M21" s="14">
        <f t="shared" si="5"/>
        <v>5.3110763624300219</v>
      </c>
      <c r="N21" s="14">
        <f t="shared" si="6"/>
        <v>0.1</v>
      </c>
      <c r="O21" s="18">
        <f t="shared" si="7"/>
        <v>2987.6377719921825</v>
      </c>
      <c r="P21" s="12">
        <f t="shared" si="8"/>
        <v>15.013255135639156</v>
      </c>
      <c r="Q21" s="19">
        <f t="shared" si="9"/>
        <v>3092.7305579416566</v>
      </c>
    </row>
    <row r="22" spans="2:17" ht="17.100000000000001" customHeight="1" x14ac:dyDescent="0.3">
      <c r="B22" s="7" t="s">
        <v>29</v>
      </c>
      <c r="C22" s="7" t="s">
        <v>33</v>
      </c>
      <c r="D22" s="12">
        <f>$C$11+7.5</f>
        <v>3007.5</v>
      </c>
      <c r="E22" s="9">
        <v>13</v>
      </c>
      <c r="F22" s="10">
        <f t="shared" si="0"/>
        <v>0.24472152950955944</v>
      </c>
      <c r="G22" s="11">
        <f t="shared" si="1"/>
        <v>36.799999999999997</v>
      </c>
      <c r="H22" s="10">
        <f t="shared" si="10"/>
        <v>0.86750452463794892</v>
      </c>
      <c r="I22" s="12">
        <f t="shared" si="11"/>
        <v>130.30000000000001</v>
      </c>
      <c r="J22" s="17">
        <f t="shared" si="2"/>
        <v>3004.0189140080952</v>
      </c>
      <c r="K22" s="12">
        <f t="shared" si="3"/>
        <v>9866.6801421513701</v>
      </c>
      <c r="L22" s="12">
        <f t="shared" si="4"/>
        <v>14459.041106816665</v>
      </c>
      <c r="M22" s="14">
        <f t="shared" si="5"/>
        <v>3.8076612158991403</v>
      </c>
      <c r="N22" s="14">
        <f t="shared" si="6"/>
        <v>0.1</v>
      </c>
      <c r="O22" s="18">
        <f t="shared" si="7"/>
        <v>2988.9988194380549</v>
      </c>
      <c r="P22" s="12">
        <f t="shared" si="8"/>
        <v>15.020094570040328</v>
      </c>
      <c r="Q22" s="19">
        <f t="shared" si="9"/>
        <v>3094.1394814283381</v>
      </c>
    </row>
    <row r="23" spans="2:17" ht="17.100000000000001" customHeight="1" x14ac:dyDescent="0.3">
      <c r="B23" s="7" t="s">
        <v>29</v>
      </c>
      <c r="C23" s="7" t="s">
        <v>34</v>
      </c>
      <c r="D23" s="12">
        <f>$C$11+10</f>
        <v>3010</v>
      </c>
      <c r="E23" s="9">
        <v>14</v>
      </c>
      <c r="F23" s="10">
        <f t="shared" si="0"/>
        <v>0.26378737541528241</v>
      </c>
      <c r="G23" s="11">
        <f t="shared" si="1"/>
        <v>39.700000000000003</v>
      </c>
      <c r="H23" s="10">
        <f t="shared" si="10"/>
        <v>1.1312919000532313</v>
      </c>
      <c r="I23" s="12">
        <f t="shared" si="11"/>
        <v>170</v>
      </c>
      <c r="J23" s="17">
        <f t="shared" si="2"/>
        <v>3005.4135452043965</v>
      </c>
      <c r="K23" s="12">
        <f t="shared" si="3"/>
        <v>9824.8113808397738</v>
      </c>
      <c r="L23" s="12">
        <f t="shared" si="4"/>
        <v>11785.935471389794</v>
      </c>
      <c r="M23" s="14">
        <f t="shared" si="5"/>
        <v>2.9155931798637189</v>
      </c>
      <c r="N23" s="14">
        <f t="shared" si="6"/>
        <v>0.1</v>
      </c>
      <c r="O23" s="18">
        <f t="shared" si="7"/>
        <v>2990.3864774783747</v>
      </c>
      <c r="P23" s="12">
        <f t="shared" si="8"/>
        <v>15.027067726021869</v>
      </c>
      <c r="Q23" s="19">
        <f t="shared" si="9"/>
        <v>3095.5759515605287</v>
      </c>
    </row>
    <row r="24" spans="2:17" ht="17.100000000000001" customHeight="1" x14ac:dyDescent="0.3">
      <c r="B24" s="7" t="s">
        <v>29</v>
      </c>
      <c r="C24" s="7" t="s">
        <v>35</v>
      </c>
      <c r="D24" s="12">
        <f>$C$11+12.5</f>
        <v>3012.5</v>
      </c>
      <c r="E24" s="9">
        <v>15</v>
      </c>
      <c r="F24" s="10">
        <f t="shared" si="0"/>
        <v>0.28215767634854771</v>
      </c>
      <c r="G24" s="11">
        <f t="shared" si="1"/>
        <v>42.5</v>
      </c>
      <c r="H24" s="10">
        <f t="shared" si="10"/>
        <v>1.4134495764017792</v>
      </c>
      <c r="I24" s="12">
        <f t="shared" si="11"/>
        <v>212.5</v>
      </c>
      <c r="J24" s="17">
        <f t="shared" si="2"/>
        <v>3006.8281677364339</v>
      </c>
      <c r="K24" s="12">
        <f t="shared" si="3"/>
        <v>9779.4831510896402</v>
      </c>
      <c r="L24" s="12">
        <f t="shared" si="4"/>
        <v>10031.560173308559</v>
      </c>
      <c r="M24" s="14">
        <f t="shared" si="5"/>
        <v>2.3299784807663264</v>
      </c>
      <c r="N24" s="14">
        <f t="shared" si="6"/>
        <v>0.1</v>
      </c>
      <c r="O24" s="18">
        <f t="shared" si="7"/>
        <v>2991.7940268977518</v>
      </c>
      <c r="P24" s="12">
        <f t="shared" si="8"/>
        <v>15.034140838682106</v>
      </c>
      <c r="Q24" s="19">
        <f t="shared" si="9"/>
        <v>3097.033012768527</v>
      </c>
    </row>
    <row r="25" spans="2:17" ht="17.100000000000001" customHeight="1" x14ac:dyDescent="0.3">
      <c r="B25" s="7" t="s">
        <v>29</v>
      </c>
      <c r="C25" s="7" t="s">
        <v>36</v>
      </c>
      <c r="D25" s="12">
        <f>$C$11+15</f>
        <v>3015</v>
      </c>
      <c r="E25" s="9">
        <v>16</v>
      </c>
      <c r="F25" s="10">
        <f t="shared" si="0"/>
        <v>0.30049751243781092</v>
      </c>
      <c r="G25" s="11">
        <f t="shared" si="1"/>
        <v>45.3</v>
      </c>
      <c r="H25" s="10">
        <f t="shared" si="10"/>
        <v>1.71394708883959</v>
      </c>
      <c r="I25" s="12">
        <f t="shared" si="11"/>
        <v>257.8</v>
      </c>
      <c r="J25" s="17">
        <f t="shared" si="2"/>
        <v>3008.2608929840512</v>
      </c>
      <c r="K25" s="12">
        <f t="shared" si="3"/>
        <v>9730.6495271486365</v>
      </c>
      <c r="L25" s="12">
        <f t="shared" si="4"/>
        <v>8798.7529563328208</v>
      </c>
      <c r="M25" s="14">
        <f t="shared" si="5"/>
        <v>1.9183260220009355</v>
      </c>
      <c r="N25" s="14">
        <f t="shared" si="6"/>
        <v>0.1</v>
      </c>
      <c r="O25" s="18">
        <f t="shared" si="7"/>
        <v>2993.2195885191309</v>
      </c>
      <c r="P25" s="12">
        <f t="shared" si="8"/>
        <v>15.041304464920358</v>
      </c>
      <c r="Q25" s="19">
        <f t="shared" si="9"/>
        <v>3098.5087197735729</v>
      </c>
    </row>
    <row r="26" spans="2:17" ht="17.100000000000001" customHeight="1" x14ac:dyDescent="0.3">
      <c r="B26" s="7" t="s">
        <v>29</v>
      </c>
      <c r="C26" s="7" t="s">
        <v>37</v>
      </c>
      <c r="D26" s="12">
        <f>$C$11+17.5</f>
        <v>3017.5</v>
      </c>
      <c r="E26" s="9">
        <v>17</v>
      </c>
      <c r="F26" s="10">
        <f t="shared" si="0"/>
        <v>0.31946975973487984</v>
      </c>
      <c r="G26" s="11">
        <f t="shared" si="1"/>
        <v>48.2</v>
      </c>
      <c r="H26" s="10">
        <f t="shared" si="10"/>
        <v>2.0334168485744697</v>
      </c>
      <c r="I26" s="12">
        <f t="shared" si="11"/>
        <v>306</v>
      </c>
      <c r="J26" s="17">
        <f t="shared" si="2"/>
        <v>3009.7124474455086</v>
      </c>
      <c r="K26" s="12">
        <f t="shared" si="3"/>
        <v>9678.1646594265385</v>
      </c>
      <c r="L26" s="12">
        <f t="shared" si="4"/>
        <v>7888.1027302737293</v>
      </c>
      <c r="M26" s="14">
        <f t="shared" si="5"/>
        <v>1.6141185518719898</v>
      </c>
      <c r="N26" s="14">
        <f t="shared" si="6"/>
        <v>0.1</v>
      </c>
      <c r="O26" s="18">
        <f t="shared" si="7"/>
        <v>2994.663885208281</v>
      </c>
      <c r="P26" s="12">
        <f t="shared" si="8"/>
        <v>15.048562237227543</v>
      </c>
      <c r="Q26" s="19">
        <f t="shared" si="9"/>
        <v>3100.0038208688738</v>
      </c>
    </row>
    <row r="27" spans="2:17" ht="17.100000000000001" customHeight="1" x14ac:dyDescent="0.3">
      <c r="B27" s="7" t="s">
        <v>29</v>
      </c>
      <c r="C27" s="7" t="s">
        <v>38</v>
      </c>
      <c r="D27" s="12">
        <f>$C$11+20</f>
        <v>3020</v>
      </c>
      <c r="E27" s="9">
        <v>18</v>
      </c>
      <c r="F27" s="10">
        <f t="shared" si="0"/>
        <v>0.33774834437086093</v>
      </c>
      <c r="G27" s="11">
        <f t="shared" si="1"/>
        <v>51</v>
      </c>
      <c r="H27" s="10">
        <f t="shared" si="10"/>
        <v>2.3711651929453308</v>
      </c>
      <c r="I27" s="12">
        <f t="shared" si="11"/>
        <v>357</v>
      </c>
      <c r="J27" s="17">
        <f t="shared" si="2"/>
        <v>3011.1778045843721</v>
      </c>
      <c r="K27" s="12">
        <f t="shared" si="3"/>
        <v>9622.0811173051006</v>
      </c>
      <c r="L27" s="12">
        <f t="shared" si="4"/>
        <v>7192.5509107928337</v>
      </c>
      <c r="M27" s="14">
        <f t="shared" si="5"/>
        <v>1.3816393744347131</v>
      </c>
      <c r="N27" s="14">
        <f t="shared" si="6"/>
        <v>0.1</v>
      </c>
      <c r="O27" s="18">
        <f t="shared" si="7"/>
        <v>2996.1219155614504</v>
      </c>
      <c r="P27" s="12">
        <f t="shared" si="8"/>
        <v>15.055889022921747</v>
      </c>
      <c r="Q27" s="19">
        <f t="shared" si="9"/>
        <v>3101.5131387219035</v>
      </c>
    </row>
    <row r="28" spans="2:17" ht="17.100000000000001" customHeight="1" x14ac:dyDescent="0.3">
      <c r="B28" s="7" t="s">
        <v>29</v>
      </c>
      <c r="C28" s="7" t="s">
        <v>39</v>
      </c>
      <c r="D28" s="12">
        <f>$C$11+22.5</f>
        <v>3022.5</v>
      </c>
      <c r="E28" s="9">
        <v>19</v>
      </c>
      <c r="F28" s="10">
        <f t="shared" si="0"/>
        <v>0.35599669148056245</v>
      </c>
      <c r="G28" s="11">
        <f t="shared" si="1"/>
        <v>53.8</v>
      </c>
      <c r="H28" s="10">
        <f t="shared" si="10"/>
        <v>2.7271618844258931</v>
      </c>
      <c r="I28" s="12">
        <f t="shared" si="11"/>
        <v>410.8</v>
      </c>
      <c r="J28" s="17">
        <f t="shared" si="2"/>
        <v>3012.6557748256246</v>
      </c>
      <c r="K28" s="12">
        <f t="shared" si="3"/>
        <v>9562.3532043227387</v>
      </c>
      <c r="L28" s="12">
        <f t="shared" si="4"/>
        <v>6646.2402682574939</v>
      </c>
      <c r="M28" s="14">
        <f t="shared" si="5"/>
        <v>1.1989215114168714</v>
      </c>
      <c r="N28" s="14">
        <f t="shared" si="6"/>
        <v>0.1</v>
      </c>
      <c r="O28" s="18">
        <f t="shared" si="7"/>
        <v>2997.5924959514964</v>
      </c>
      <c r="P28" s="12">
        <f t="shared" si="8"/>
        <v>15.063278874128173</v>
      </c>
      <c r="Q28" s="19">
        <f t="shared" si="9"/>
        <v>3103.0354480703936</v>
      </c>
    </row>
    <row r="29" spans="2:17" ht="17.100000000000001" customHeight="1" x14ac:dyDescent="0.3">
      <c r="B29" s="7" t="s">
        <v>29</v>
      </c>
      <c r="C29" s="7" t="s">
        <v>40</v>
      </c>
      <c r="D29" s="12">
        <f>$C$11+25</f>
        <v>3025</v>
      </c>
      <c r="E29" s="9">
        <v>20</v>
      </c>
      <c r="F29" s="10">
        <f t="shared" si="0"/>
        <v>0.37487603305785122</v>
      </c>
      <c r="G29" s="11">
        <f t="shared" si="1"/>
        <v>56.7</v>
      </c>
      <c r="H29" s="10">
        <f t="shared" si="10"/>
        <v>3.1020379174837442</v>
      </c>
      <c r="I29" s="12">
        <f t="shared" si="11"/>
        <v>467.5</v>
      </c>
      <c r="J29" s="17">
        <f t="shared" si="2"/>
        <v>3014.1475535490445</v>
      </c>
      <c r="K29" s="12">
        <f t="shared" si="3"/>
        <v>9498.8352996116737</v>
      </c>
      <c r="L29" s="12">
        <f t="shared" si="4"/>
        <v>6206.8007727324884</v>
      </c>
      <c r="M29" s="14">
        <f t="shared" si="5"/>
        <v>1.0518349661925581</v>
      </c>
      <c r="N29" s="14">
        <f t="shared" si="6"/>
        <v>0.1</v>
      </c>
      <c r="O29" s="18">
        <f t="shared" si="7"/>
        <v>2999.076815781299</v>
      </c>
      <c r="P29" s="12">
        <f t="shared" si="8"/>
        <v>15.070737767745413</v>
      </c>
      <c r="Q29" s="19">
        <f t="shared" si="9"/>
        <v>3104.571980155516</v>
      </c>
    </row>
    <row r="30" spans="2:17" ht="17.100000000000001" customHeight="1" x14ac:dyDescent="0.3">
      <c r="B30" s="7" t="s">
        <v>29</v>
      </c>
      <c r="C30" s="7" t="s">
        <v>41</v>
      </c>
      <c r="D30" s="12">
        <f>$C$11+27.5</f>
        <v>3027.5</v>
      </c>
      <c r="E30" s="9">
        <v>21</v>
      </c>
      <c r="F30" s="10">
        <f t="shared" si="0"/>
        <v>0.39306358381502893</v>
      </c>
      <c r="G30" s="11">
        <f t="shared" si="1"/>
        <v>59.5</v>
      </c>
      <c r="H30" s="10">
        <f t="shared" si="10"/>
        <v>3.4951015012987732</v>
      </c>
      <c r="I30" s="12">
        <f t="shared" si="11"/>
        <v>527</v>
      </c>
      <c r="J30" s="17">
        <f t="shared" si="2"/>
        <v>3015.6491867498999</v>
      </c>
      <c r="K30" s="12">
        <f t="shared" si="3"/>
        <v>9431.580204817963</v>
      </c>
      <c r="L30" s="12">
        <f t="shared" si="4"/>
        <v>5847.5586296074616</v>
      </c>
      <c r="M30" s="14">
        <f t="shared" si="5"/>
        <v>0.93148096766555299</v>
      </c>
      <c r="N30" s="14">
        <f t="shared" si="6"/>
        <v>0.1</v>
      </c>
      <c r="O30" s="18">
        <f t="shared" si="7"/>
        <v>3000.5709408161501</v>
      </c>
      <c r="P30" s="12">
        <f t="shared" si="8"/>
        <v>15.078245933749713</v>
      </c>
      <c r="Q30" s="19">
        <f t="shared" si="9"/>
        <v>3106.1186623523968</v>
      </c>
    </row>
    <row r="31" spans="2:17" ht="17.100000000000001" customHeight="1" x14ac:dyDescent="0.3">
      <c r="B31" s="7" t="s">
        <v>29</v>
      </c>
      <c r="C31" s="7" t="s">
        <v>42</v>
      </c>
      <c r="D31" s="12">
        <f>$C$11+30</f>
        <v>3030</v>
      </c>
      <c r="E31" s="9">
        <v>22</v>
      </c>
      <c r="F31" s="10">
        <f t="shared" si="0"/>
        <v>0.41122112211221123</v>
      </c>
      <c r="G31" s="11">
        <f t="shared" si="1"/>
        <v>62.3</v>
      </c>
      <c r="H31" s="10">
        <f t="shared" si="10"/>
        <v>3.9063226234109845</v>
      </c>
      <c r="I31" s="12">
        <f t="shared" si="11"/>
        <v>589.29999999999995</v>
      </c>
      <c r="J31" s="17">
        <f t="shared" si="2"/>
        <v>3017.1599061903685</v>
      </c>
      <c r="K31" s="12">
        <f t="shared" si="3"/>
        <v>9360.5424510647172</v>
      </c>
      <c r="L31" s="12">
        <f t="shared" si="4"/>
        <v>5549.3654851707333</v>
      </c>
      <c r="M31" s="14">
        <f t="shared" si="5"/>
        <v>0.83147375748209018</v>
      </c>
      <c r="N31" s="14">
        <f t="shared" si="6"/>
        <v>0.1</v>
      </c>
      <c r="O31" s="18">
        <f t="shared" si="7"/>
        <v>3002.0741066594164</v>
      </c>
      <c r="P31" s="12">
        <f t="shared" si="8"/>
        <v>15.085799530952045</v>
      </c>
      <c r="Q31" s="19">
        <f t="shared" si="9"/>
        <v>3107.6747033760798</v>
      </c>
    </row>
    <row r="32" spans="2:17" ht="17.100000000000001" customHeight="1" x14ac:dyDescent="0.3">
      <c r="B32" s="7" t="s">
        <v>29</v>
      </c>
      <c r="C32" s="7" t="s">
        <v>43</v>
      </c>
      <c r="D32" s="12">
        <f>$C$11+32.5</f>
        <v>3032.5</v>
      </c>
      <c r="E32" s="9">
        <v>23</v>
      </c>
      <c r="F32" s="10">
        <f t="shared" si="0"/>
        <v>0.43000824402308324</v>
      </c>
      <c r="G32" s="11">
        <f t="shared" si="1"/>
        <v>65.2</v>
      </c>
      <c r="H32" s="10">
        <f t="shared" si="10"/>
        <v>4.3363308674340679</v>
      </c>
      <c r="I32" s="12">
        <f t="shared" si="11"/>
        <v>654.5</v>
      </c>
      <c r="J32" s="17">
        <f t="shared" si="2"/>
        <v>3018.681092419899</v>
      </c>
      <c r="K32" s="12">
        <f t="shared" si="3"/>
        <v>9285.576644506189</v>
      </c>
      <c r="L32" s="12">
        <f t="shared" si="4"/>
        <v>5298.2867499002668</v>
      </c>
      <c r="M32" s="14">
        <f t="shared" si="5"/>
        <v>0.74716793071731802</v>
      </c>
      <c r="N32" s="14">
        <f t="shared" si="6"/>
        <v>0.1</v>
      </c>
      <c r="O32" s="18">
        <f t="shared" si="7"/>
        <v>3003.5876869577996</v>
      </c>
      <c r="P32" s="12">
        <f t="shared" si="8"/>
        <v>15.093405462099327</v>
      </c>
      <c r="Q32" s="19">
        <f t="shared" si="9"/>
        <v>3109.2415251924958</v>
      </c>
    </row>
    <row r="33" spans="2:17" ht="17.100000000000001" customHeight="1" x14ac:dyDescent="0.3">
      <c r="B33" s="7" t="s">
        <v>29</v>
      </c>
      <c r="C33" s="7" t="s">
        <v>44</v>
      </c>
      <c r="D33" s="12">
        <f>$C$11+35</f>
        <v>3035</v>
      </c>
      <c r="E33" s="9">
        <v>24</v>
      </c>
      <c r="F33" s="10">
        <f t="shared" si="0"/>
        <v>0.44810543657331137</v>
      </c>
      <c r="G33" s="11">
        <f t="shared" si="1"/>
        <v>68</v>
      </c>
      <c r="H33" s="10">
        <f t="shared" si="10"/>
        <v>4.7844363040073796</v>
      </c>
      <c r="I33" s="12">
        <f t="shared" si="11"/>
        <v>722.5</v>
      </c>
      <c r="J33" s="17">
        <f t="shared" si="2"/>
        <v>3020.2095047010812</v>
      </c>
      <c r="K33" s="12">
        <f t="shared" si="3"/>
        <v>9206.7358173376015</v>
      </c>
      <c r="L33" s="12">
        <f t="shared" si="4"/>
        <v>5084.8954115196648</v>
      </c>
      <c r="M33" s="14">
        <f t="shared" si="5"/>
        <v>0.67541858699165236</v>
      </c>
      <c r="N33" s="14">
        <f t="shared" si="6"/>
        <v>0.1</v>
      </c>
      <c r="O33" s="18">
        <f t="shared" si="7"/>
        <v>3005.1084571775759</v>
      </c>
      <c r="P33" s="12">
        <f t="shared" si="8"/>
        <v>15.101047523505258</v>
      </c>
      <c r="Q33" s="19">
        <f t="shared" si="9"/>
        <v>3110.8157898421136</v>
      </c>
    </row>
    <row r="34" spans="2:17" ht="17.100000000000001" customHeight="1" x14ac:dyDescent="0.3">
      <c r="B34" s="7" t="s">
        <v>29</v>
      </c>
      <c r="C34" s="7" t="s">
        <v>45</v>
      </c>
      <c r="D34" s="12">
        <f>$C$11+37.5</f>
        <v>3037.5</v>
      </c>
      <c r="E34" s="9">
        <v>25</v>
      </c>
      <c r="F34" s="10">
        <f t="shared" si="0"/>
        <v>0.46617283950617283</v>
      </c>
      <c r="G34" s="11">
        <f t="shared" si="1"/>
        <v>70.8</v>
      </c>
      <c r="H34" s="10">
        <f t="shared" si="10"/>
        <v>5.250609143513552</v>
      </c>
      <c r="I34" s="12">
        <f t="shared" si="11"/>
        <v>793.3</v>
      </c>
      <c r="J34" s="17">
        <f t="shared" si="2"/>
        <v>3021.7446331156434</v>
      </c>
      <c r="K34" s="12">
        <f t="shared" si="3"/>
        <v>9123.9747265775877</v>
      </c>
      <c r="L34" s="12">
        <f t="shared" si="4"/>
        <v>4901.7766756893234</v>
      </c>
      <c r="M34" s="14">
        <f t="shared" si="5"/>
        <v>0.61375363808701999</v>
      </c>
      <c r="N34" s="14">
        <f t="shared" si="6"/>
        <v>0.1</v>
      </c>
      <c r="O34" s="18">
        <f t="shared" si="7"/>
        <v>3006.6359099500651</v>
      </c>
      <c r="P34" s="12">
        <f t="shared" si="8"/>
        <v>15.10872316557834</v>
      </c>
      <c r="Q34" s="19">
        <f t="shared" si="9"/>
        <v>3112.396972109113</v>
      </c>
    </row>
    <row r="35" spans="2:17" ht="17.100000000000001" customHeight="1" x14ac:dyDescent="0.3">
      <c r="B35" s="7" t="s">
        <v>29</v>
      </c>
      <c r="C35" s="7" t="s">
        <v>46</v>
      </c>
      <c r="D35" s="12">
        <f>$C$11+40</f>
        <v>3040</v>
      </c>
      <c r="E35" s="9">
        <v>26</v>
      </c>
      <c r="F35" s="10">
        <f t="shared" si="0"/>
        <v>0.48486842105263156</v>
      </c>
      <c r="G35" s="11">
        <f t="shared" si="1"/>
        <v>73.7</v>
      </c>
      <c r="H35" s="10">
        <f t="shared" si="10"/>
        <v>5.7354775645661835</v>
      </c>
      <c r="I35" s="12">
        <f t="shared" si="11"/>
        <v>867</v>
      </c>
      <c r="J35" s="17">
        <f t="shared" si="2"/>
        <v>3023.2879136563324</v>
      </c>
      <c r="K35" s="12">
        <f t="shared" si="3"/>
        <v>9037.1482037188016</v>
      </c>
      <c r="L35" s="12">
        <f t="shared" si="4"/>
        <v>4743.1063574494392</v>
      </c>
      <c r="M35" s="14">
        <f t="shared" si="5"/>
        <v>0.56023235442415764</v>
      </c>
      <c r="N35" s="14">
        <f t="shared" si="6"/>
        <v>0.1</v>
      </c>
      <c r="O35" s="18">
        <f t="shared" si="7"/>
        <v>3008.1714740880507</v>
      </c>
      <c r="P35" s="12">
        <f t="shared" si="8"/>
        <v>15.116439568281749</v>
      </c>
      <c r="Q35" s="19">
        <f t="shared" si="9"/>
        <v>3113.9865510660225</v>
      </c>
    </row>
    <row r="36" spans="2:17" ht="17.100000000000001" customHeight="1" x14ac:dyDescent="0.3">
      <c r="B36" s="7" t="s">
        <v>29</v>
      </c>
      <c r="C36" s="7" t="s">
        <v>47</v>
      </c>
      <c r="D36" s="12">
        <f>$C$11+42.5</f>
        <v>3042.5</v>
      </c>
      <c r="E36" s="9">
        <v>27</v>
      </c>
      <c r="F36" s="10">
        <f t="shared" si="0"/>
        <v>0.50287592440427276</v>
      </c>
      <c r="G36" s="11">
        <f t="shared" si="1"/>
        <v>76.5</v>
      </c>
      <c r="H36" s="10">
        <f t="shared" si="10"/>
        <v>6.2383534889704562</v>
      </c>
      <c r="I36" s="12">
        <f t="shared" si="11"/>
        <v>943.5</v>
      </c>
      <c r="J36" s="17">
        <f t="shared" si="2"/>
        <v>3024.8366068647069</v>
      </c>
      <c r="K36" s="12">
        <f t="shared" si="3"/>
        <v>8946.3095098073882</v>
      </c>
      <c r="L36" s="12">
        <f t="shared" si="4"/>
        <v>4604.7996815173783</v>
      </c>
      <c r="M36" s="14">
        <f t="shared" si="5"/>
        <v>0.51349208924153766</v>
      </c>
      <c r="N36" s="14">
        <f t="shared" si="6"/>
        <v>0.1</v>
      </c>
      <c r="O36" s="18">
        <f t="shared" si="7"/>
        <v>3009.7124238303836</v>
      </c>
      <c r="P36" s="12">
        <f t="shared" si="8"/>
        <v>15.124183034323323</v>
      </c>
      <c r="Q36" s="19">
        <f t="shared" si="9"/>
        <v>3115.5817050706482</v>
      </c>
    </row>
    <row r="37" spans="2:17" ht="17.100000000000001" customHeight="1" x14ac:dyDescent="0.3">
      <c r="B37" s="7" t="s">
        <v>29</v>
      </c>
      <c r="C37" s="7" t="s">
        <v>48</v>
      </c>
      <c r="D37" s="12">
        <f>$C$11+45</f>
        <v>3045</v>
      </c>
      <c r="E37" s="9">
        <v>28</v>
      </c>
      <c r="F37" s="10">
        <f t="shared" si="0"/>
        <v>0.52085385878489332</v>
      </c>
      <c r="G37" s="11">
        <f t="shared" si="1"/>
        <v>79.3</v>
      </c>
      <c r="H37" s="10">
        <f t="shared" si="10"/>
        <v>6.7592073477553498</v>
      </c>
      <c r="I37" s="12">
        <f t="shared" si="11"/>
        <v>1022.8</v>
      </c>
      <c r="J37" s="17">
        <f t="shared" si="2"/>
        <v>3026.3903661415548</v>
      </c>
      <c r="K37" s="12">
        <f t="shared" si="3"/>
        <v>8851.4136260849609</v>
      </c>
      <c r="L37" s="12">
        <f t="shared" si="4"/>
        <v>4483.4366002995966</v>
      </c>
      <c r="M37" s="14">
        <f t="shared" si="5"/>
        <v>0.47239297218377557</v>
      </c>
      <c r="N37" s="14">
        <f t="shared" si="6"/>
        <v>0.1</v>
      </c>
      <c r="O37" s="18">
        <f t="shared" si="7"/>
        <v>3011.258414310847</v>
      </c>
      <c r="P37" s="12">
        <f t="shared" si="8"/>
        <v>15.131951830707749</v>
      </c>
      <c r="Q37" s="19">
        <f t="shared" si="9"/>
        <v>3117.1820771258017</v>
      </c>
    </row>
    <row r="38" spans="2:17" ht="17.100000000000001" customHeight="1" x14ac:dyDescent="0.3">
      <c r="B38" s="7" t="s">
        <v>29</v>
      </c>
      <c r="C38" s="7" t="s">
        <v>49</v>
      </c>
      <c r="D38" s="12">
        <f>$C$11+47.5</f>
        <v>3047.5</v>
      </c>
      <c r="E38" s="9">
        <v>29</v>
      </c>
      <c r="F38" s="10">
        <f t="shared" si="0"/>
        <v>0.53945857260049224</v>
      </c>
      <c r="G38" s="11">
        <f t="shared" si="1"/>
        <v>82.2</v>
      </c>
      <c r="H38" s="10">
        <f t="shared" si="10"/>
        <v>7.2986659203558419</v>
      </c>
      <c r="I38" s="12">
        <f t="shared" si="11"/>
        <v>1105</v>
      </c>
      <c r="J38" s="17">
        <f t="shared" si="2"/>
        <v>3027.9506201761496</v>
      </c>
      <c r="K38" s="12">
        <f t="shared" si="3"/>
        <v>8752.3156077155709</v>
      </c>
      <c r="L38" s="12">
        <f t="shared" si="4"/>
        <v>4376.1831074336196</v>
      </c>
      <c r="M38" s="14">
        <f t="shared" si="5"/>
        <v>0.43599117553195066</v>
      </c>
      <c r="N38" s="14">
        <f t="shared" si="6"/>
        <v>0.1</v>
      </c>
      <c r="O38" s="18">
        <f t="shared" si="7"/>
        <v>3012.810867075269</v>
      </c>
      <c r="P38" s="12">
        <f t="shared" si="8"/>
        <v>15.139753100880625</v>
      </c>
      <c r="Q38" s="19">
        <f t="shared" si="9"/>
        <v>3118.7891387814343</v>
      </c>
    </row>
    <row r="39" spans="2:17" ht="17.100000000000001" customHeight="1" x14ac:dyDescent="0.3">
      <c r="B39" s="7" t="s">
        <v>50</v>
      </c>
      <c r="C39" s="7" t="s">
        <v>30</v>
      </c>
      <c r="D39" s="12">
        <f>$C$11+50</f>
        <v>3050</v>
      </c>
      <c r="E39" s="9">
        <v>30</v>
      </c>
      <c r="F39" s="10">
        <f t="shared" si="0"/>
        <v>0.55737704918032782</v>
      </c>
      <c r="G39" s="11">
        <f t="shared" si="1"/>
        <v>85</v>
      </c>
      <c r="H39" s="10">
        <f t="shared" si="10"/>
        <v>7.85604296953617</v>
      </c>
      <c r="I39" s="12">
        <f t="shared" si="11"/>
        <v>1190</v>
      </c>
      <c r="J39" s="17">
        <f t="shared" si="2"/>
        <v>3029.5149978545978</v>
      </c>
      <c r="K39" s="12">
        <f t="shared" si="3"/>
        <v>8649.0689429146805</v>
      </c>
      <c r="L39" s="12">
        <f t="shared" si="4"/>
        <v>4281.0153822269085</v>
      </c>
      <c r="M39" s="14">
        <f t="shared" si="5"/>
        <v>0.40361160073013391</v>
      </c>
      <c r="N39" s="14">
        <f t="shared" si="6"/>
        <v>0.05</v>
      </c>
      <c r="O39" s="18">
        <f t="shared" si="7"/>
        <v>3021.9412103599616</v>
      </c>
      <c r="P39" s="12">
        <f t="shared" si="8"/>
        <v>7.5737874946362354</v>
      </c>
      <c r="Q39" s="19">
        <f t="shared" si="9"/>
        <v>3120.4004477902358</v>
      </c>
    </row>
    <row r="40" spans="2:17" ht="17.100000000000001" customHeight="1" x14ac:dyDescent="0.3">
      <c r="B40" s="7" t="s">
        <v>50</v>
      </c>
      <c r="C40" s="7" t="s">
        <v>31</v>
      </c>
      <c r="D40" s="12">
        <f>$C$11+52.5</f>
        <v>3052.5</v>
      </c>
      <c r="E40" s="9">
        <v>32</v>
      </c>
      <c r="F40" s="10">
        <f t="shared" si="0"/>
        <v>0.59426699426699425</v>
      </c>
      <c r="G40" s="11">
        <f t="shared" si="1"/>
        <v>90.7</v>
      </c>
      <c r="H40" s="10">
        <f t="shared" si="10"/>
        <v>8.4503099638031642</v>
      </c>
      <c r="I40" s="12">
        <f t="shared" si="11"/>
        <v>1280.7</v>
      </c>
      <c r="J40" s="17">
        <f t="shared" si="2"/>
        <v>3031.1314152637437</v>
      </c>
      <c r="K40" s="12">
        <f t="shared" si="3"/>
        <v>8538.7288354908414</v>
      </c>
      <c r="L40" s="12">
        <f t="shared" si="4"/>
        <v>4193.552197752666</v>
      </c>
      <c r="M40" s="14">
        <f t="shared" si="5"/>
        <v>0.37380907379284717</v>
      </c>
      <c r="N40" s="14">
        <f t="shared" si="6"/>
        <v>0.05</v>
      </c>
      <c r="O40" s="18">
        <f t="shared" si="7"/>
        <v>3023.5535867255844</v>
      </c>
      <c r="P40" s="12">
        <f t="shared" si="8"/>
        <v>7.5778285381593378</v>
      </c>
      <c r="Q40" s="19">
        <f t="shared" si="9"/>
        <v>3122.0653577216563</v>
      </c>
    </row>
    <row r="41" spans="2:17" ht="17.100000000000001" customHeight="1" x14ac:dyDescent="0.3">
      <c r="B41" s="7" t="s">
        <v>50</v>
      </c>
      <c r="C41" s="7" t="s">
        <v>32</v>
      </c>
      <c r="D41" s="12">
        <f>$C$11+55</f>
        <v>3055</v>
      </c>
      <c r="E41" s="9">
        <v>34</v>
      </c>
      <c r="F41" s="10">
        <f t="shared" si="0"/>
        <v>0.63044189852700494</v>
      </c>
      <c r="G41" s="11">
        <f t="shared" si="1"/>
        <v>96.3</v>
      </c>
      <c r="H41" s="10">
        <f t="shared" si="10"/>
        <v>9.0807518623301693</v>
      </c>
      <c r="I41" s="12">
        <f t="shared" si="11"/>
        <v>1377</v>
      </c>
      <c r="J41" s="17">
        <f t="shared" si="2"/>
        <v>3032.7885198850804</v>
      </c>
      <c r="K41" s="12">
        <f t="shared" si="3"/>
        <v>8421.3030605813346</v>
      </c>
      <c r="L41" s="12">
        <f t="shared" si="4"/>
        <v>4113.4516609575912</v>
      </c>
      <c r="M41" s="14">
        <f t="shared" si="5"/>
        <v>0.34646535546893331</v>
      </c>
      <c r="N41" s="14">
        <f t="shared" si="6"/>
        <v>0.05</v>
      </c>
      <c r="O41" s="18">
        <f t="shared" si="7"/>
        <v>3025.2065485853677</v>
      </c>
      <c r="P41" s="12">
        <f t="shared" si="8"/>
        <v>7.5819712997126771</v>
      </c>
      <c r="Q41" s="19">
        <f t="shared" si="9"/>
        <v>3123.772175481633</v>
      </c>
    </row>
    <row r="42" spans="2:17" ht="17.100000000000001" customHeight="1" x14ac:dyDescent="0.3">
      <c r="B42" s="7" t="s">
        <v>50</v>
      </c>
      <c r="C42" s="7" t="s">
        <v>33</v>
      </c>
      <c r="D42" s="12">
        <f>$C$11+57.5</f>
        <v>3057.5</v>
      </c>
      <c r="E42" s="9">
        <v>36</v>
      </c>
      <c r="F42" s="10">
        <f t="shared" si="0"/>
        <v>0.66721177432542922</v>
      </c>
      <c r="G42" s="11">
        <f t="shared" si="1"/>
        <v>102</v>
      </c>
      <c r="H42" s="10">
        <f t="shared" si="10"/>
        <v>9.747963636655598</v>
      </c>
      <c r="I42" s="12">
        <f t="shared" si="11"/>
        <v>1479</v>
      </c>
      <c r="J42" s="17">
        <f t="shared" si="2"/>
        <v>3034.4799285841941</v>
      </c>
      <c r="K42" s="12">
        <f t="shared" si="3"/>
        <v>8296.6011809255087</v>
      </c>
      <c r="L42" s="12">
        <f t="shared" si="4"/>
        <v>4040.1345393842962</v>
      </c>
      <c r="M42" s="14">
        <f t="shared" si="5"/>
        <v>0.32138496790982707</v>
      </c>
      <c r="N42" s="14">
        <f t="shared" si="6"/>
        <v>0.05</v>
      </c>
      <c r="O42" s="18">
        <f t="shared" si="7"/>
        <v>3026.8937287627336</v>
      </c>
      <c r="P42" s="12">
        <f t="shared" si="8"/>
        <v>7.5861998214604682</v>
      </c>
      <c r="Q42" s="19">
        <f t="shared" si="9"/>
        <v>3125.5143264417202</v>
      </c>
    </row>
    <row r="43" spans="2:17" ht="17.100000000000001" customHeight="1" x14ac:dyDescent="0.3">
      <c r="B43" s="7" t="s">
        <v>50</v>
      </c>
      <c r="C43" s="7" t="s">
        <v>34</v>
      </c>
      <c r="D43" s="12">
        <f>$C$11+60</f>
        <v>3060</v>
      </c>
      <c r="E43" s="9">
        <v>38</v>
      </c>
      <c r="F43" s="10">
        <f t="shared" si="0"/>
        <v>0.70326797385620921</v>
      </c>
      <c r="G43" s="11">
        <f t="shared" si="1"/>
        <v>107.6</v>
      </c>
      <c r="H43" s="10">
        <f t="shared" si="10"/>
        <v>10.451231610511806</v>
      </c>
      <c r="I43" s="12">
        <f t="shared" si="11"/>
        <v>1586.6</v>
      </c>
      <c r="J43" s="17">
        <f t="shared" si="2"/>
        <v>3036.1971854191884</v>
      </c>
      <c r="K43" s="12">
        <f t="shared" si="3"/>
        <v>8164.6312718338695</v>
      </c>
      <c r="L43" s="12">
        <f t="shared" si="4"/>
        <v>3973.1564333229103</v>
      </c>
      <c r="M43" s="14">
        <f t="shared" si="5"/>
        <v>0.29841713507284651</v>
      </c>
      <c r="N43" s="14">
        <f t="shared" si="6"/>
        <v>0.05</v>
      </c>
      <c r="O43" s="18">
        <f t="shared" si="7"/>
        <v>3028.6066924556408</v>
      </c>
      <c r="P43" s="12">
        <f t="shared" si="8"/>
        <v>7.5904929635476037</v>
      </c>
      <c r="Q43" s="19">
        <f t="shared" si="9"/>
        <v>3127.2831009817642</v>
      </c>
    </row>
    <row r="44" spans="2:17" ht="17.100000000000001" customHeight="1" x14ac:dyDescent="0.3">
      <c r="B44" s="7" t="s">
        <v>50</v>
      </c>
      <c r="C44" s="7" t="s">
        <v>35</v>
      </c>
      <c r="D44" s="12">
        <f>$C$11+62.5</f>
        <v>3062.5</v>
      </c>
      <c r="E44" s="9">
        <v>40</v>
      </c>
      <c r="F44" s="10">
        <f t="shared" si="0"/>
        <v>0.73991836734693872</v>
      </c>
      <c r="G44" s="11">
        <f t="shared" si="1"/>
        <v>113.3</v>
      </c>
      <c r="H44" s="10">
        <f t="shared" si="10"/>
        <v>11.191149977858744</v>
      </c>
      <c r="I44" s="12">
        <f t="shared" si="11"/>
        <v>1699.8999999999999</v>
      </c>
      <c r="J44" s="17">
        <f t="shared" si="2"/>
        <v>3037.9362324036156</v>
      </c>
      <c r="K44" s="12">
        <f t="shared" si="3"/>
        <v>8025.2031928075958</v>
      </c>
      <c r="L44" s="12">
        <f t="shared" si="4"/>
        <v>3911.9397527713595</v>
      </c>
      <c r="M44" s="14">
        <f t="shared" si="5"/>
        <v>0.27736808253758677</v>
      </c>
      <c r="N44" s="14">
        <f t="shared" si="6"/>
        <v>0.05</v>
      </c>
      <c r="O44" s="18">
        <f t="shared" si="7"/>
        <v>3030.3413918226065</v>
      </c>
      <c r="P44" s="12">
        <f t="shared" si="8"/>
        <v>7.5948405810090662</v>
      </c>
      <c r="Q44" s="19">
        <f t="shared" si="9"/>
        <v>3129.0743193757239</v>
      </c>
    </row>
    <row r="45" spans="2:17" ht="17.100000000000001" customHeight="1" x14ac:dyDescent="0.3">
      <c r="B45" s="7" t="s">
        <v>50</v>
      </c>
      <c r="C45" s="7" t="s">
        <v>36</v>
      </c>
      <c r="D45" s="12">
        <f>$C$11+65</f>
        <v>3065</v>
      </c>
      <c r="E45" s="9">
        <v>42</v>
      </c>
      <c r="F45" s="10">
        <f t="shared" si="0"/>
        <v>0.77650897226753668</v>
      </c>
      <c r="G45" s="11">
        <f t="shared" si="1"/>
        <v>119</v>
      </c>
      <c r="H45" s="10">
        <f t="shared" si="10"/>
        <v>11.967658950126282</v>
      </c>
      <c r="I45" s="12">
        <f t="shared" si="11"/>
        <v>1818.8999999999999</v>
      </c>
      <c r="J45" s="17">
        <f t="shared" si="2"/>
        <v>3039.6922365185001</v>
      </c>
      <c r="K45" s="12">
        <f t="shared" si="3"/>
        <v>7878.2253178629489</v>
      </c>
      <c r="L45" s="12">
        <f t="shared" si="4"/>
        <v>3855.9975575762128</v>
      </c>
      <c r="M45" s="14">
        <f t="shared" si="5"/>
        <v>0.25807424390741035</v>
      </c>
      <c r="N45" s="14">
        <f t="shared" si="6"/>
        <v>0.05</v>
      </c>
      <c r="O45" s="18">
        <f t="shared" si="7"/>
        <v>3032.0930059272041</v>
      </c>
      <c r="P45" s="12">
        <f t="shared" si="8"/>
        <v>7.5992305912959637</v>
      </c>
      <c r="Q45" s="19">
        <f t="shared" si="9"/>
        <v>3130.8830036140553</v>
      </c>
    </row>
    <row r="46" spans="2:17" ht="17.100000000000001" customHeight="1" x14ac:dyDescent="0.3">
      <c r="B46" s="7" t="s">
        <v>50</v>
      </c>
      <c r="C46" s="7" t="s">
        <v>37</v>
      </c>
      <c r="D46" s="12">
        <f>$C$11+67.5</f>
        <v>3067.5</v>
      </c>
      <c r="E46" s="9">
        <v>44</v>
      </c>
      <c r="F46" s="10">
        <f t="shared" si="0"/>
        <v>0.81238793806030973</v>
      </c>
      <c r="G46" s="11">
        <f t="shared" si="1"/>
        <v>124.6</v>
      </c>
      <c r="H46" s="10">
        <f t="shared" si="10"/>
        <v>12.780046888186591</v>
      </c>
      <c r="I46" s="12">
        <f t="shared" si="11"/>
        <v>1943.4999999999998</v>
      </c>
      <c r="J46" s="17">
        <f t="shared" si="2"/>
        <v>3041.459889785694</v>
      </c>
      <c r="K46" s="12">
        <f t="shared" si="3"/>
        <v>7723.7061704876232</v>
      </c>
      <c r="L46" s="12">
        <f t="shared" si="4"/>
        <v>3804.9051069281045</v>
      </c>
      <c r="M46" s="14">
        <f t="shared" si="5"/>
        <v>0.24039286289424761</v>
      </c>
      <c r="N46" s="14">
        <f t="shared" si="6"/>
        <v>0.05</v>
      </c>
      <c r="O46" s="18">
        <f t="shared" si="7"/>
        <v>3033.85624006123</v>
      </c>
      <c r="P46" s="12">
        <f t="shared" si="8"/>
        <v>7.6036497244640486</v>
      </c>
      <c r="Q46" s="19">
        <f t="shared" si="9"/>
        <v>3132.7036864792649</v>
      </c>
    </row>
    <row r="47" spans="2:17" ht="17.100000000000001" customHeight="1" x14ac:dyDescent="0.3">
      <c r="B47" s="7" t="s">
        <v>50</v>
      </c>
      <c r="C47" s="7" t="s">
        <v>38</v>
      </c>
      <c r="D47" s="12">
        <f>$C$11+70</f>
        <v>3070</v>
      </c>
      <c r="E47" s="9">
        <v>46</v>
      </c>
      <c r="F47" s="10">
        <f t="shared" si="0"/>
        <v>0.84885993485342015</v>
      </c>
      <c r="G47" s="11">
        <f t="shared" si="1"/>
        <v>130.30000000000001</v>
      </c>
      <c r="H47" s="10">
        <f t="shared" si="10"/>
        <v>13.628906823040012</v>
      </c>
      <c r="I47" s="12">
        <f t="shared" si="11"/>
        <v>2073.7999999999997</v>
      </c>
      <c r="J47" s="17">
        <f t="shared" si="2"/>
        <v>3043.2374759422205</v>
      </c>
      <c r="K47" s="12">
        <f t="shared" si="3"/>
        <v>7561.4560532671576</v>
      </c>
      <c r="L47" s="12">
        <f t="shared" si="4"/>
        <v>3758.1811338620278</v>
      </c>
      <c r="M47" s="14">
        <f t="shared" si="5"/>
        <v>0.22416323578567679</v>
      </c>
      <c r="N47" s="14">
        <f t="shared" si="6"/>
        <v>0.05</v>
      </c>
      <c r="O47" s="18">
        <f t="shared" si="7"/>
        <v>3035.6293822523653</v>
      </c>
      <c r="P47" s="12">
        <f t="shared" si="8"/>
        <v>7.6080936898551954</v>
      </c>
      <c r="Q47" s="19">
        <f t="shared" si="9"/>
        <v>3134.5346002204874</v>
      </c>
    </row>
    <row r="48" spans="2:17" ht="17.100000000000001" customHeight="1" x14ac:dyDescent="0.3">
      <c r="B48" s="7" t="s">
        <v>50</v>
      </c>
      <c r="C48" s="7" t="s">
        <v>39</v>
      </c>
      <c r="D48" s="12">
        <f>$C$11+72.5</f>
        <v>3072.5</v>
      </c>
      <c r="E48" s="9">
        <v>48</v>
      </c>
      <c r="F48" s="10">
        <f t="shared" si="0"/>
        <v>0.88527257933279091</v>
      </c>
      <c r="G48" s="11">
        <f t="shared" si="1"/>
        <v>136</v>
      </c>
      <c r="H48" s="10">
        <f t="shared" si="10"/>
        <v>14.514179402372802</v>
      </c>
      <c r="I48" s="12">
        <f t="shared" si="11"/>
        <v>2209.7999999999997</v>
      </c>
      <c r="J48" s="17">
        <f t="shared" si="2"/>
        <v>3045.0223036911584</v>
      </c>
      <c r="K48" s="12">
        <f t="shared" si="3"/>
        <v>7391.383786209557</v>
      </c>
      <c r="L48" s="12">
        <f t="shared" si="4"/>
        <v>3715.4265952085452</v>
      </c>
      <c r="M48" s="14">
        <f t="shared" si="5"/>
        <v>0.20925194311099926</v>
      </c>
      <c r="N48" s="14">
        <f t="shared" si="6"/>
        <v>0.05</v>
      </c>
      <c r="O48" s="18">
        <f t="shared" si="7"/>
        <v>3037.4097479319307</v>
      </c>
      <c r="P48" s="12">
        <f t="shared" si="8"/>
        <v>7.6125557592276891</v>
      </c>
      <c r="Q48" s="19">
        <f t="shared" si="9"/>
        <v>3136.3729728018934</v>
      </c>
    </row>
    <row r="49" spans="2:17" ht="17.100000000000001" customHeight="1" x14ac:dyDescent="0.3">
      <c r="B49" s="7" t="s">
        <v>50</v>
      </c>
      <c r="C49" s="7" t="s">
        <v>40</v>
      </c>
      <c r="D49" s="12">
        <f>$C$11+75</f>
        <v>3075</v>
      </c>
      <c r="E49" s="9">
        <v>50</v>
      </c>
      <c r="F49" s="10">
        <f t="shared" si="0"/>
        <v>0.9209756097560976</v>
      </c>
      <c r="G49" s="11">
        <f t="shared" si="1"/>
        <v>141.6</v>
      </c>
      <c r="H49" s="10">
        <f t="shared" si="10"/>
        <v>15.435155012128901</v>
      </c>
      <c r="I49" s="12">
        <f t="shared" si="11"/>
        <v>2351.3999999999996</v>
      </c>
      <c r="J49" s="17">
        <f t="shared" si="2"/>
        <v>3046.8109949686623</v>
      </c>
      <c r="K49" s="12">
        <f t="shared" si="3"/>
        <v>7213.4983377036206</v>
      </c>
      <c r="L49" s="12">
        <f t="shared" si="4"/>
        <v>3676.3011814507649</v>
      </c>
      <c r="M49" s="14">
        <f t="shared" si="5"/>
        <v>0.19554509965878536</v>
      </c>
      <c r="N49" s="14">
        <f t="shared" si="6"/>
        <v>0.05</v>
      </c>
      <c r="O49" s="18">
        <f t="shared" si="7"/>
        <v>3039.1939674812406</v>
      </c>
      <c r="P49" s="12">
        <f t="shared" si="8"/>
        <v>7.6170274874216375</v>
      </c>
      <c r="Q49" s="19">
        <f t="shared" si="9"/>
        <v>3138.2153248177224</v>
      </c>
    </row>
    <row r="50" spans="2:17" ht="17.100000000000001" customHeight="1" x14ac:dyDescent="0.3">
      <c r="B50" s="7" t="s">
        <v>50</v>
      </c>
      <c r="C50" s="7" t="s">
        <v>41</v>
      </c>
      <c r="D50" s="12">
        <f>$C$11+77.5</f>
        <v>3077.5</v>
      </c>
      <c r="E50" s="9">
        <v>52</v>
      </c>
      <c r="F50" s="10">
        <f t="shared" si="0"/>
        <v>0.95727051177904143</v>
      </c>
      <c r="G50" s="11">
        <f t="shared" si="1"/>
        <v>147.30000000000001</v>
      </c>
      <c r="H50" s="10">
        <f t="shared" si="10"/>
        <v>16.392425523907942</v>
      </c>
      <c r="I50" s="12">
        <f t="shared" si="11"/>
        <v>2498.6999999999998</v>
      </c>
      <c r="J50" s="17">
        <f t="shared" si="2"/>
        <v>3048.6031446117704</v>
      </c>
      <c r="K50" s="12">
        <f t="shared" si="3"/>
        <v>7027.6104501733089</v>
      </c>
      <c r="L50" s="12">
        <f t="shared" si="4"/>
        <v>3640.4387992193024</v>
      </c>
      <c r="M50" s="14">
        <f t="shared" si="5"/>
        <v>0.18292081209400565</v>
      </c>
      <c r="N50" s="14">
        <f t="shared" si="6"/>
        <v>0.05</v>
      </c>
      <c r="O50" s="18">
        <f t="shared" si="7"/>
        <v>3040.9816367502413</v>
      </c>
      <c r="P50" s="12">
        <f t="shared" si="8"/>
        <v>7.6215078615291532</v>
      </c>
      <c r="Q50" s="19">
        <f t="shared" si="9"/>
        <v>3140.0612389501234</v>
      </c>
    </row>
    <row r="51" spans="2:17" ht="17.100000000000001" customHeight="1" x14ac:dyDescent="0.3">
      <c r="B51" s="7" t="s">
        <v>50</v>
      </c>
      <c r="C51" s="7" t="s">
        <v>42</v>
      </c>
      <c r="D51" s="12">
        <f>$C$11+80</f>
        <v>3080</v>
      </c>
      <c r="E51" s="9">
        <v>54</v>
      </c>
      <c r="F51" s="10">
        <f t="shared" ref="F51:F78" si="12">(G51*$C$13)/D51</f>
        <v>0.99350649350649356</v>
      </c>
      <c r="G51" s="11">
        <f t="shared" ref="G51:G78" si="13">ROUND($C$12*E51/SUM($E$19:$E$78), 1)</f>
        <v>153</v>
      </c>
      <c r="H51" s="10">
        <f t="shared" si="10"/>
        <v>17.385932017414437</v>
      </c>
      <c r="I51" s="12">
        <f t="shared" si="11"/>
        <v>2651.7</v>
      </c>
      <c r="J51" s="17">
        <f t="shared" ref="J51:J78" si="14">I51*$C$13/H51</f>
        <v>3050.3972951739975</v>
      </c>
      <c r="K51" s="12">
        <f t="shared" ref="K51:K78" si="15">$C$12-I51+H51*(J51-D51)</f>
        <v>6833.6293863635337</v>
      </c>
      <c r="L51" s="12">
        <f t="shared" ref="L51:L78" si="16">(J51*H51+$C$12)/(H51*(1+$C$14))</f>
        <v>3607.5372863029161</v>
      </c>
      <c r="M51" s="14">
        <f t="shared" ref="M51:M78" si="17">(L51-D51)/D51</f>
        <v>0.17127833970873899</v>
      </c>
      <c r="N51" s="14">
        <f t="shared" ref="N51:N78" si="18">IF(B51="1차",0.1,IF(B51="2차",0.05,0.02))</f>
        <v>0.05</v>
      </c>
      <c r="O51" s="18">
        <f t="shared" ref="O51:O78" si="19">J51*(1-N51/$C$13)</f>
        <v>3042.7713019360626</v>
      </c>
      <c r="P51" s="12">
        <f t="shared" ref="P51:P78" si="20">J51-O51</f>
        <v>7.6259932379348356</v>
      </c>
      <c r="Q51" s="19">
        <f t="shared" ref="Q51:Q78" si="21">J51*(1+$C$15)</f>
        <v>3141.9092140292173</v>
      </c>
    </row>
    <row r="52" spans="2:17" ht="17.100000000000001" customHeight="1" x14ac:dyDescent="0.3">
      <c r="B52" s="7" t="s">
        <v>50</v>
      </c>
      <c r="C52" s="7" t="s">
        <v>43</v>
      </c>
      <c r="D52" s="12">
        <f>$C$11+82.5</f>
        <v>3082.5</v>
      </c>
      <c r="E52" s="9">
        <v>56</v>
      </c>
      <c r="F52" s="10">
        <f t="shared" si="12"/>
        <v>1.0290348742903488</v>
      </c>
      <c r="G52" s="11">
        <f t="shared" si="13"/>
        <v>158.6</v>
      </c>
      <c r="H52" s="10">
        <f t="shared" ref="H52:H78" si="22">H51+F52</f>
        <v>18.414966891704786</v>
      </c>
      <c r="I52" s="12">
        <f t="shared" ref="I52:I78" si="23">I51+G52</f>
        <v>2810.2999999999997</v>
      </c>
      <c r="J52" s="17">
        <f t="shared" si="14"/>
        <v>3052.1912056935912</v>
      </c>
      <c r="K52" s="12">
        <f t="shared" si="15"/>
        <v>6631.5645563199923</v>
      </c>
      <c r="L52" s="12">
        <f t="shared" si="16"/>
        <v>3577.3410456196748</v>
      </c>
      <c r="M52" s="14">
        <f t="shared" si="17"/>
        <v>0.16053237489689368</v>
      </c>
      <c r="N52" s="14">
        <f t="shared" si="18"/>
        <v>0.05</v>
      </c>
      <c r="O52" s="18">
        <f t="shared" si="19"/>
        <v>3044.5607276793576</v>
      </c>
      <c r="P52" s="12">
        <f t="shared" si="20"/>
        <v>7.6304780142336313</v>
      </c>
      <c r="Q52" s="19">
        <f t="shared" si="21"/>
        <v>3143.7569418643989</v>
      </c>
    </row>
    <row r="53" spans="2:17" ht="17.100000000000001" customHeight="1" x14ac:dyDescent="0.3">
      <c r="B53" s="7" t="s">
        <v>50</v>
      </c>
      <c r="C53" s="7" t="s">
        <v>44</v>
      </c>
      <c r="D53" s="12">
        <f>$C$11+85</f>
        <v>3085</v>
      </c>
      <c r="E53" s="9">
        <v>58</v>
      </c>
      <c r="F53" s="10">
        <f t="shared" si="12"/>
        <v>1.0651539708265803</v>
      </c>
      <c r="G53" s="11">
        <f t="shared" si="13"/>
        <v>164.3</v>
      </c>
      <c r="H53" s="10">
        <f t="shared" si="22"/>
        <v>19.480120862531365</v>
      </c>
      <c r="I53" s="12">
        <f t="shared" si="23"/>
        <v>2974.6</v>
      </c>
      <c r="J53" s="17">
        <f t="shared" si="14"/>
        <v>3053.985158502207</v>
      </c>
      <c r="K53" s="12">
        <f t="shared" si="15"/>
        <v>6421.227139090739</v>
      </c>
      <c r="L53" s="12">
        <f t="shared" si="16"/>
        <v>3549.5810906242573</v>
      </c>
      <c r="M53" s="14">
        <f t="shared" si="17"/>
        <v>0.15059354639360042</v>
      </c>
      <c r="N53" s="14">
        <f t="shared" si="18"/>
        <v>0.05</v>
      </c>
      <c r="O53" s="18">
        <f t="shared" si="19"/>
        <v>3046.3501956059517</v>
      </c>
      <c r="P53" s="12">
        <f t="shared" si="20"/>
        <v>7.6349628962552742</v>
      </c>
      <c r="Q53" s="19">
        <f t="shared" si="21"/>
        <v>3145.6047132572735</v>
      </c>
    </row>
    <row r="54" spans="2:17" ht="17.100000000000001" customHeight="1" x14ac:dyDescent="0.3">
      <c r="B54" s="7" t="s">
        <v>50</v>
      </c>
      <c r="C54" s="7" t="s">
        <v>45</v>
      </c>
      <c r="D54" s="12">
        <f>$C$11+87.5</f>
        <v>3087.5</v>
      </c>
      <c r="E54" s="9">
        <v>60</v>
      </c>
      <c r="F54" s="10">
        <f t="shared" si="12"/>
        <v>1.1012145748987854</v>
      </c>
      <c r="G54" s="11">
        <f t="shared" si="13"/>
        <v>170</v>
      </c>
      <c r="H54" s="10">
        <f t="shared" si="22"/>
        <v>20.581335437430152</v>
      </c>
      <c r="I54" s="12">
        <f t="shared" si="23"/>
        <v>3144.6</v>
      </c>
      <c r="J54" s="17">
        <f t="shared" si="14"/>
        <v>3055.7783867426674</v>
      </c>
      <c r="K54" s="12">
        <f t="shared" si="15"/>
        <v>6202.5268369344067</v>
      </c>
      <c r="L54" s="12">
        <f t="shared" si="16"/>
        <v>3524.0353306678862</v>
      </c>
      <c r="M54" s="14">
        <f t="shared" si="17"/>
        <v>0.14138796134992265</v>
      </c>
      <c r="N54" s="14">
        <f t="shared" si="18"/>
        <v>0.05</v>
      </c>
      <c r="O54" s="18">
        <f t="shared" si="19"/>
        <v>3048.1389407758111</v>
      </c>
      <c r="P54" s="12">
        <f t="shared" si="20"/>
        <v>7.6394459668563286</v>
      </c>
      <c r="Q54" s="19">
        <f t="shared" si="21"/>
        <v>3147.4517383449474</v>
      </c>
    </row>
    <row r="55" spans="2:17" ht="17.100000000000001" customHeight="1" x14ac:dyDescent="0.3">
      <c r="B55" s="7" t="s">
        <v>50</v>
      </c>
      <c r="C55" s="7" t="s">
        <v>46</v>
      </c>
      <c r="D55" s="12">
        <f>$C$11+90</f>
        <v>3090</v>
      </c>
      <c r="E55" s="9">
        <v>62</v>
      </c>
      <c r="F55" s="10">
        <f t="shared" si="12"/>
        <v>1.1365695792880259</v>
      </c>
      <c r="G55" s="11">
        <f t="shared" si="13"/>
        <v>175.6</v>
      </c>
      <c r="H55" s="10">
        <f t="shared" si="22"/>
        <v>21.717905016718177</v>
      </c>
      <c r="I55" s="12">
        <f t="shared" si="23"/>
        <v>3320.2</v>
      </c>
      <c r="J55" s="17">
        <f t="shared" si="14"/>
        <v>3057.5693166022697</v>
      </c>
      <c r="K55" s="12">
        <f t="shared" si="15"/>
        <v>5975.4734983408352</v>
      </c>
      <c r="L55" s="12">
        <f t="shared" si="16"/>
        <v>3500.5163038742771</v>
      </c>
      <c r="M55" s="14">
        <f t="shared" si="17"/>
        <v>0.13285317277484696</v>
      </c>
      <c r="N55" s="14">
        <f t="shared" si="18"/>
        <v>0.05</v>
      </c>
      <c r="O55" s="18">
        <f t="shared" si="19"/>
        <v>3049.9253933107643</v>
      </c>
      <c r="P55" s="12">
        <f t="shared" si="20"/>
        <v>7.6439232915054163</v>
      </c>
      <c r="Q55" s="19">
        <f t="shared" si="21"/>
        <v>3149.2963961003379</v>
      </c>
    </row>
    <row r="56" spans="2:17" ht="17.100000000000001" customHeight="1" x14ac:dyDescent="0.3">
      <c r="B56" s="7" t="s">
        <v>50</v>
      </c>
      <c r="C56" s="7" t="s">
        <v>47</v>
      </c>
      <c r="D56" s="12">
        <f>$C$11+92.5</f>
        <v>3092.5</v>
      </c>
      <c r="E56" s="9">
        <v>64</v>
      </c>
      <c r="F56" s="10">
        <f t="shared" si="12"/>
        <v>1.1725141471301537</v>
      </c>
      <c r="G56" s="11">
        <f t="shared" si="13"/>
        <v>181.3</v>
      </c>
      <c r="H56" s="10">
        <f t="shared" si="22"/>
        <v>22.890419163848332</v>
      </c>
      <c r="I56" s="12">
        <f t="shared" si="23"/>
        <v>3501.5</v>
      </c>
      <c r="J56" s="17">
        <f t="shared" si="14"/>
        <v>3059.3585682607732</v>
      </c>
      <c r="K56" s="12">
        <f t="shared" si="15"/>
        <v>5739.8787357990304</v>
      </c>
      <c r="L56" s="12">
        <f t="shared" si="16"/>
        <v>3478.828422757123</v>
      </c>
      <c r="M56" s="14">
        <f t="shared" si="17"/>
        <v>0.12492430808637769</v>
      </c>
      <c r="N56" s="14">
        <f t="shared" si="18"/>
        <v>0.05</v>
      </c>
      <c r="O56" s="18">
        <f t="shared" si="19"/>
        <v>3051.7101718401213</v>
      </c>
      <c r="P56" s="12">
        <f t="shared" si="20"/>
        <v>7.6483964206518067</v>
      </c>
      <c r="Q56" s="19">
        <f t="shared" si="21"/>
        <v>3151.1393253085967</v>
      </c>
    </row>
    <row r="57" spans="2:17" ht="17.100000000000001" customHeight="1" x14ac:dyDescent="0.3">
      <c r="B57" s="7" t="s">
        <v>50</v>
      </c>
      <c r="C57" s="7" t="s">
        <v>48</v>
      </c>
      <c r="D57" s="12">
        <f>$C$11+95</f>
        <v>3095</v>
      </c>
      <c r="E57" s="9">
        <v>66</v>
      </c>
      <c r="F57" s="10">
        <f t="shared" si="12"/>
        <v>1.2084006462035541</v>
      </c>
      <c r="G57" s="11">
        <f t="shared" si="13"/>
        <v>187</v>
      </c>
      <c r="H57" s="10">
        <f t="shared" si="22"/>
        <v>24.098819810051886</v>
      </c>
      <c r="I57" s="12">
        <f t="shared" si="23"/>
        <v>3688.5</v>
      </c>
      <c r="J57" s="17">
        <f t="shared" si="14"/>
        <v>3061.145756574756</v>
      </c>
      <c r="K57" s="12">
        <f t="shared" si="15"/>
        <v>5495.652687889411</v>
      </c>
      <c r="L57" s="12">
        <f t="shared" si="16"/>
        <v>3458.8097876925167</v>
      </c>
      <c r="M57" s="14">
        <f t="shared" si="17"/>
        <v>0.11754758891519118</v>
      </c>
      <c r="N57" s="14">
        <f t="shared" si="18"/>
        <v>0.05</v>
      </c>
      <c r="O57" s="18">
        <f t="shared" si="19"/>
        <v>3053.4928921833193</v>
      </c>
      <c r="P57" s="12">
        <f t="shared" si="20"/>
        <v>7.6528643914366512</v>
      </c>
      <c r="Q57" s="19">
        <f t="shared" si="21"/>
        <v>3152.9801292719985</v>
      </c>
    </row>
    <row r="58" spans="2:17" ht="17.100000000000001" customHeight="1" x14ac:dyDescent="0.3">
      <c r="B58" s="7" t="s">
        <v>50</v>
      </c>
      <c r="C58" s="7" t="s">
        <v>49</v>
      </c>
      <c r="D58" s="12">
        <f>$C$11+97.5</f>
        <v>3097.5</v>
      </c>
      <c r="E58" s="9">
        <v>68</v>
      </c>
      <c r="F58" s="10">
        <f t="shared" si="12"/>
        <v>1.2435835351089588</v>
      </c>
      <c r="G58" s="11">
        <f t="shared" si="13"/>
        <v>192.6</v>
      </c>
      <c r="H58" s="10">
        <f t="shared" si="22"/>
        <v>25.342403345160843</v>
      </c>
      <c r="I58" s="12">
        <f t="shared" si="23"/>
        <v>3881.1</v>
      </c>
      <c r="J58" s="17">
        <f t="shared" si="14"/>
        <v>3062.9297049216921</v>
      </c>
      <c r="K58" s="12">
        <f t="shared" si="15"/>
        <v>5242.8056383642916</v>
      </c>
      <c r="L58" s="12">
        <f t="shared" si="16"/>
        <v>3440.3236529809856</v>
      </c>
      <c r="M58" s="14">
        <f t="shared" si="17"/>
        <v>0.11067753122872818</v>
      </c>
      <c r="N58" s="14">
        <f t="shared" si="18"/>
        <v>0.05</v>
      </c>
      <c r="O58" s="18">
        <f t="shared" si="19"/>
        <v>3055.2723806593881</v>
      </c>
      <c r="P58" s="12">
        <f t="shared" si="20"/>
        <v>7.6573242623039732</v>
      </c>
      <c r="Q58" s="19">
        <f t="shared" si="21"/>
        <v>3154.8175960693429</v>
      </c>
    </row>
    <row r="59" spans="2:17" ht="17.100000000000001" customHeight="1" x14ac:dyDescent="0.3">
      <c r="B59" s="7" t="s">
        <v>51</v>
      </c>
      <c r="C59" s="7" t="s">
        <v>30</v>
      </c>
      <c r="D59" s="12">
        <f>$C$11+100</f>
        <v>3100</v>
      </c>
      <c r="E59" s="9">
        <v>70</v>
      </c>
      <c r="F59" s="10">
        <f t="shared" si="12"/>
        <v>1.2793548387096774</v>
      </c>
      <c r="G59" s="11">
        <f t="shared" si="13"/>
        <v>198.3</v>
      </c>
      <c r="H59" s="10">
        <f t="shared" si="22"/>
        <v>26.621758183870519</v>
      </c>
      <c r="I59" s="12">
        <f t="shared" si="23"/>
        <v>4079.4</v>
      </c>
      <c r="J59" s="17">
        <f t="shared" si="14"/>
        <v>3064.7111823527944</v>
      </c>
      <c r="K59" s="12">
        <f t="shared" si="15"/>
        <v>4981.1496300013896</v>
      </c>
      <c r="L59" s="12">
        <f t="shared" si="16"/>
        <v>3423.2276350430002</v>
      </c>
      <c r="M59" s="14">
        <f t="shared" si="17"/>
        <v>0.1042669790461291</v>
      </c>
      <c r="N59" s="14">
        <f t="shared" si="18"/>
        <v>0.02</v>
      </c>
      <c r="O59" s="18">
        <f t="shared" si="19"/>
        <v>3061.6464711704416</v>
      </c>
      <c r="P59" s="12">
        <f t="shared" si="20"/>
        <v>3.0647111823527666</v>
      </c>
      <c r="Q59" s="19">
        <f t="shared" si="21"/>
        <v>3156.6525178233783</v>
      </c>
    </row>
    <row r="60" spans="2:17" ht="17.100000000000001" customHeight="1" x14ac:dyDescent="0.3">
      <c r="B60" s="7" t="s">
        <v>51</v>
      </c>
      <c r="C60" s="7" t="s">
        <v>31</v>
      </c>
      <c r="D60" s="12">
        <f>$C$11+102.5</f>
        <v>3102.5</v>
      </c>
      <c r="E60" s="9">
        <v>74</v>
      </c>
      <c r="F60" s="10">
        <f t="shared" si="12"/>
        <v>1.3511684125705077</v>
      </c>
      <c r="G60" s="11">
        <f t="shared" si="13"/>
        <v>209.6</v>
      </c>
      <c r="H60" s="10">
        <f t="shared" si="22"/>
        <v>27.972926596441027</v>
      </c>
      <c r="I60" s="12">
        <f t="shared" si="23"/>
        <v>4289</v>
      </c>
      <c r="J60" s="17">
        <f t="shared" si="14"/>
        <v>3066.5364849923753</v>
      </c>
      <c r="K60" s="12">
        <f t="shared" si="15"/>
        <v>4704.9952345417096</v>
      </c>
      <c r="L60" s="12">
        <f t="shared" si="16"/>
        <v>3406.990050129044</v>
      </c>
      <c r="M60" s="14">
        <f t="shared" si="17"/>
        <v>9.814344887318098E-2</v>
      </c>
      <c r="N60" s="14">
        <f t="shared" si="18"/>
        <v>0.02</v>
      </c>
      <c r="O60" s="18">
        <f t="shared" si="19"/>
        <v>3063.4699485073829</v>
      </c>
      <c r="P60" s="12">
        <f t="shared" si="20"/>
        <v>3.0665364849924117</v>
      </c>
      <c r="Q60" s="19">
        <f t="shared" si="21"/>
        <v>3158.5325795421468</v>
      </c>
    </row>
    <row r="61" spans="2:17" ht="17.100000000000001" customHeight="1" x14ac:dyDescent="0.3">
      <c r="B61" s="7" t="s">
        <v>51</v>
      </c>
      <c r="C61" s="7" t="s">
        <v>32</v>
      </c>
      <c r="D61" s="12">
        <f>$C$11+105</f>
        <v>3105</v>
      </c>
      <c r="E61" s="9">
        <v>78</v>
      </c>
      <c r="F61" s="10">
        <f t="shared" si="12"/>
        <v>1.423510466988728</v>
      </c>
      <c r="G61" s="11">
        <f t="shared" si="13"/>
        <v>221</v>
      </c>
      <c r="H61" s="10">
        <f t="shared" si="22"/>
        <v>29.396437063429754</v>
      </c>
      <c r="I61" s="12">
        <f t="shared" si="23"/>
        <v>4510</v>
      </c>
      <c r="J61" s="17">
        <f t="shared" si="14"/>
        <v>3068.3990650081914</v>
      </c>
      <c r="K61" s="12">
        <f t="shared" si="15"/>
        <v>4414.0629180506157</v>
      </c>
      <c r="L61" s="12">
        <f t="shared" si="16"/>
        <v>3391.6182536742099</v>
      </c>
      <c r="M61" s="14">
        <f t="shared" si="17"/>
        <v>9.2308616320196421E-2</v>
      </c>
      <c r="N61" s="14">
        <f t="shared" si="18"/>
        <v>0.02</v>
      </c>
      <c r="O61" s="18">
        <f t="shared" si="19"/>
        <v>3065.3306659431832</v>
      </c>
      <c r="P61" s="12">
        <f t="shared" si="20"/>
        <v>3.0683990650081796</v>
      </c>
      <c r="Q61" s="19">
        <f t="shared" si="21"/>
        <v>3160.4510369584373</v>
      </c>
    </row>
    <row r="62" spans="2:17" ht="17.100000000000001" customHeight="1" x14ac:dyDescent="0.3">
      <c r="B62" s="7" t="s">
        <v>51</v>
      </c>
      <c r="C62" s="7" t="s">
        <v>33</v>
      </c>
      <c r="D62" s="12">
        <f>$C$11+107.5</f>
        <v>3107.5</v>
      </c>
      <c r="E62" s="9">
        <v>82</v>
      </c>
      <c r="F62" s="10">
        <f t="shared" si="12"/>
        <v>1.4950925181013677</v>
      </c>
      <c r="G62" s="11">
        <f t="shared" si="13"/>
        <v>232.3</v>
      </c>
      <c r="H62" s="10">
        <f t="shared" si="22"/>
        <v>30.891529581531124</v>
      </c>
      <c r="I62" s="12">
        <f t="shared" si="23"/>
        <v>4742.3</v>
      </c>
      <c r="J62" s="17">
        <f t="shared" si="14"/>
        <v>3070.2914774639335</v>
      </c>
      <c r="K62" s="12">
        <f t="shared" si="15"/>
        <v>4108.271825392033</v>
      </c>
      <c r="L62" s="12">
        <f t="shared" si="16"/>
        <v>3377.1192143177122</v>
      </c>
      <c r="M62" s="14">
        <f t="shared" si="17"/>
        <v>8.6764027133616167E-2</v>
      </c>
      <c r="N62" s="14">
        <f t="shared" si="18"/>
        <v>0.02</v>
      </c>
      <c r="O62" s="18">
        <f t="shared" si="19"/>
        <v>3067.2211859864697</v>
      </c>
      <c r="P62" s="12">
        <f t="shared" si="20"/>
        <v>3.0702914774637975</v>
      </c>
      <c r="Q62" s="19">
        <f t="shared" si="21"/>
        <v>3162.4002217878515</v>
      </c>
    </row>
    <row r="63" spans="2:17" ht="17.100000000000001" customHeight="1" x14ac:dyDescent="0.3">
      <c r="B63" s="7" t="s">
        <v>51</v>
      </c>
      <c r="C63" s="7" t="s">
        <v>34</v>
      </c>
      <c r="D63" s="12">
        <f>$C$11+110</f>
        <v>3110</v>
      </c>
      <c r="E63" s="9">
        <v>86</v>
      </c>
      <c r="F63" s="10">
        <f t="shared" si="12"/>
        <v>1.5665594855305467</v>
      </c>
      <c r="G63" s="11">
        <f t="shared" si="13"/>
        <v>243.6</v>
      </c>
      <c r="H63" s="10">
        <f t="shared" si="22"/>
        <v>32.458089067061671</v>
      </c>
      <c r="I63" s="12">
        <f t="shared" si="23"/>
        <v>4985.9000000000005</v>
      </c>
      <c r="J63" s="17">
        <f t="shared" si="14"/>
        <v>3072.2079723785528</v>
      </c>
      <c r="K63" s="12">
        <f t="shared" si="15"/>
        <v>3787.4430014382106</v>
      </c>
      <c r="L63" s="12">
        <f t="shared" si="16"/>
        <v>3363.4801814093867</v>
      </c>
      <c r="M63" s="14">
        <f t="shared" si="17"/>
        <v>8.1504881482117902E-2</v>
      </c>
      <c r="N63" s="14">
        <f t="shared" si="18"/>
        <v>0.02</v>
      </c>
      <c r="O63" s="18">
        <f t="shared" si="19"/>
        <v>3069.1357644061741</v>
      </c>
      <c r="P63" s="12">
        <f t="shared" si="20"/>
        <v>3.0722079723786919</v>
      </c>
      <c r="Q63" s="19">
        <f t="shared" si="21"/>
        <v>3164.3742115499094</v>
      </c>
    </row>
    <row r="64" spans="2:17" ht="17.100000000000001" customHeight="1" x14ac:dyDescent="0.3">
      <c r="B64" s="7" t="s">
        <v>51</v>
      </c>
      <c r="C64" s="7" t="s">
        <v>35</v>
      </c>
      <c r="D64" s="12">
        <f>$C$11+112.5</f>
        <v>3112.5</v>
      </c>
      <c r="E64" s="9">
        <v>90</v>
      </c>
      <c r="F64" s="10">
        <f t="shared" si="12"/>
        <v>1.6385542168674698</v>
      </c>
      <c r="G64" s="11">
        <f t="shared" si="13"/>
        <v>255</v>
      </c>
      <c r="H64" s="10">
        <f t="shared" si="22"/>
        <v>34.09664328392914</v>
      </c>
      <c r="I64" s="12">
        <f t="shared" si="23"/>
        <v>5240.9000000000005</v>
      </c>
      <c r="J64" s="17">
        <f t="shared" si="14"/>
        <v>3074.1442530621234</v>
      </c>
      <c r="K64" s="12">
        <f t="shared" si="15"/>
        <v>3451.2977787705645</v>
      </c>
      <c r="L64" s="12">
        <f t="shared" si="16"/>
        <v>3350.6748807441254</v>
      </c>
      <c r="M64" s="14">
        <f t="shared" si="17"/>
        <v>7.6522050038273226E-2</v>
      </c>
      <c r="N64" s="14">
        <f t="shared" si="18"/>
        <v>0.02</v>
      </c>
      <c r="O64" s="18">
        <f t="shared" si="19"/>
        <v>3071.0701088090614</v>
      </c>
      <c r="P64" s="12">
        <f t="shared" si="20"/>
        <v>3.0741442530620589</v>
      </c>
      <c r="Q64" s="19">
        <f t="shared" si="21"/>
        <v>3166.368580653987</v>
      </c>
    </row>
    <row r="65" spans="2:17" ht="17.100000000000001" customHeight="1" x14ac:dyDescent="0.3">
      <c r="B65" s="7" t="s">
        <v>51</v>
      </c>
      <c r="C65" s="7" t="s">
        <v>36</v>
      </c>
      <c r="D65" s="12">
        <f>$C$11+115</f>
        <v>3115</v>
      </c>
      <c r="E65" s="9">
        <v>94</v>
      </c>
      <c r="F65" s="10">
        <f t="shared" si="12"/>
        <v>1.7097913322632423</v>
      </c>
      <c r="G65" s="11">
        <f t="shared" si="13"/>
        <v>266.3</v>
      </c>
      <c r="H65" s="10">
        <f t="shared" si="22"/>
        <v>35.806434616192384</v>
      </c>
      <c r="I65" s="12">
        <f t="shared" si="23"/>
        <v>5507.2000000000007</v>
      </c>
      <c r="J65" s="17">
        <f t="shared" si="14"/>
        <v>3076.0951538635099</v>
      </c>
      <c r="K65" s="12">
        <f t="shared" si="15"/>
        <v>3099.7561705607432</v>
      </c>
      <c r="L65" s="12">
        <f t="shared" si="16"/>
        <v>3338.681159912393</v>
      </c>
      <c r="M65" s="14">
        <f t="shared" si="17"/>
        <v>7.1807755991137409E-2</v>
      </c>
      <c r="N65" s="14">
        <f t="shared" si="18"/>
        <v>0.02</v>
      </c>
      <c r="O65" s="18">
        <f t="shared" si="19"/>
        <v>3073.0190587096463</v>
      </c>
      <c r="P65" s="12">
        <f t="shared" si="20"/>
        <v>3.0760951538636618</v>
      </c>
      <c r="Q65" s="19">
        <f t="shared" si="21"/>
        <v>3168.3780084794153</v>
      </c>
    </row>
    <row r="66" spans="2:17" ht="17.100000000000001" customHeight="1" x14ac:dyDescent="0.3">
      <c r="B66" s="7" t="s">
        <v>51</v>
      </c>
      <c r="C66" s="7" t="s">
        <v>37</v>
      </c>
      <c r="D66" s="12">
        <f>$C$11+117.5</f>
        <v>3117.5</v>
      </c>
      <c r="E66" s="9">
        <v>98</v>
      </c>
      <c r="F66" s="10">
        <f t="shared" si="12"/>
        <v>1.7809141940657578</v>
      </c>
      <c r="G66" s="11">
        <f t="shared" si="13"/>
        <v>277.60000000000002</v>
      </c>
      <c r="H66" s="10">
        <f t="shared" si="22"/>
        <v>37.587348810258142</v>
      </c>
      <c r="I66" s="12">
        <f t="shared" si="23"/>
        <v>5784.8000000000011</v>
      </c>
      <c r="J66" s="17">
        <f t="shared" si="14"/>
        <v>3078.05694368167</v>
      </c>
      <c r="K66" s="12">
        <f t="shared" si="15"/>
        <v>2732.6400840202714</v>
      </c>
      <c r="L66" s="12">
        <f t="shared" si="16"/>
        <v>3327.4665738604999</v>
      </c>
      <c r="M66" s="14">
        <f t="shared" si="17"/>
        <v>6.7350945905533255E-2</v>
      </c>
      <c r="N66" s="14">
        <f t="shared" si="18"/>
        <v>0.02</v>
      </c>
      <c r="O66" s="18">
        <f t="shared" si="19"/>
        <v>3074.9788867379884</v>
      </c>
      <c r="P66" s="12">
        <f t="shared" si="20"/>
        <v>3.0780569436815313</v>
      </c>
      <c r="Q66" s="19">
        <f t="shared" si="21"/>
        <v>3170.39865199212</v>
      </c>
    </row>
    <row r="67" spans="2:17" ht="17.100000000000001" customHeight="1" x14ac:dyDescent="0.3">
      <c r="B67" s="7" t="s">
        <v>51</v>
      </c>
      <c r="C67" s="7" t="s">
        <v>38</v>
      </c>
      <c r="D67" s="12">
        <f>$C$11+120</f>
        <v>3120</v>
      </c>
      <c r="E67" s="9">
        <v>102</v>
      </c>
      <c r="F67" s="10">
        <f t="shared" si="12"/>
        <v>1.8525641025641026</v>
      </c>
      <c r="G67" s="11">
        <f t="shared" si="13"/>
        <v>289</v>
      </c>
      <c r="H67" s="10">
        <f t="shared" si="22"/>
        <v>39.439912912822244</v>
      </c>
      <c r="I67" s="12">
        <f t="shared" si="23"/>
        <v>6073.8000000000011</v>
      </c>
      <c r="J67" s="17">
        <f t="shared" si="14"/>
        <v>3080.0270849611125</v>
      </c>
      <c r="K67" s="12">
        <f t="shared" si="15"/>
        <v>2349.6717119946316</v>
      </c>
      <c r="L67" s="12">
        <f t="shared" si="16"/>
        <v>3316.992378670604</v>
      </c>
      <c r="M67" s="14">
        <f t="shared" si="17"/>
        <v>6.3138582907244875E-2</v>
      </c>
      <c r="N67" s="14">
        <f t="shared" si="18"/>
        <v>0.02</v>
      </c>
      <c r="O67" s="18">
        <f t="shared" si="19"/>
        <v>3076.9470578761511</v>
      </c>
      <c r="P67" s="12">
        <f t="shared" si="20"/>
        <v>3.0800270849613298</v>
      </c>
      <c r="Q67" s="19">
        <f t="shared" si="21"/>
        <v>3172.427897509946</v>
      </c>
    </row>
    <row r="68" spans="2:17" ht="17.100000000000001" customHeight="1" x14ac:dyDescent="0.3">
      <c r="B68" s="7" t="s">
        <v>51</v>
      </c>
      <c r="C68" s="7" t="s">
        <v>39</v>
      </c>
      <c r="D68" s="12">
        <f>$C$11+122.5</f>
        <v>3122.5</v>
      </c>
      <c r="E68" s="9">
        <v>106</v>
      </c>
      <c r="F68" s="10">
        <f t="shared" si="12"/>
        <v>1.923458767013611</v>
      </c>
      <c r="G68" s="11">
        <f t="shared" si="13"/>
        <v>300.3</v>
      </c>
      <c r="H68" s="10">
        <f t="shared" si="22"/>
        <v>41.363371679835858</v>
      </c>
      <c r="I68" s="12">
        <f t="shared" si="23"/>
        <v>6374.1000000000013</v>
      </c>
      <c r="J68" s="17">
        <f t="shared" si="14"/>
        <v>3082.0021391569962</v>
      </c>
      <c r="K68" s="12">
        <f t="shared" si="15"/>
        <v>1950.7719297125634</v>
      </c>
      <c r="L68" s="12">
        <f t="shared" si="16"/>
        <v>3307.225798929157</v>
      </c>
      <c r="M68" s="14">
        <f t="shared" si="17"/>
        <v>5.9159583323989434E-2</v>
      </c>
      <c r="N68" s="14">
        <f t="shared" si="18"/>
        <v>0.02</v>
      </c>
      <c r="O68" s="18">
        <f t="shared" si="19"/>
        <v>3078.9201370178394</v>
      </c>
      <c r="P68" s="12">
        <f t="shared" si="20"/>
        <v>3.0820021391568844</v>
      </c>
      <c r="Q68" s="19">
        <f t="shared" si="21"/>
        <v>3174.4622033317064</v>
      </c>
    </row>
    <row r="69" spans="2:17" ht="17.100000000000001" customHeight="1" x14ac:dyDescent="0.3">
      <c r="B69" s="7" t="s">
        <v>51</v>
      </c>
      <c r="C69" s="7" t="s">
        <v>40</v>
      </c>
      <c r="D69" s="12">
        <f>$C$11+125</f>
        <v>3125</v>
      </c>
      <c r="E69" s="9">
        <v>110</v>
      </c>
      <c r="F69" s="10">
        <f t="shared" si="12"/>
        <v>1.99424</v>
      </c>
      <c r="G69" s="11">
        <f t="shared" si="13"/>
        <v>311.60000000000002</v>
      </c>
      <c r="H69" s="10">
        <f t="shared" si="22"/>
        <v>43.357611679835856</v>
      </c>
      <c r="I69" s="12">
        <f t="shared" si="23"/>
        <v>6685.7000000000016</v>
      </c>
      <c r="J69" s="17">
        <f t="shared" si="14"/>
        <v>3083.9798323620726</v>
      </c>
      <c r="K69" s="12">
        <f t="shared" si="15"/>
        <v>1535.7635005129707</v>
      </c>
      <c r="L69" s="12">
        <f t="shared" si="16"/>
        <v>3298.129196577227</v>
      </c>
      <c r="M69" s="14">
        <f t="shared" si="17"/>
        <v>5.5401342904712658E-2</v>
      </c>
      <c r="N69" s="14">
        <f t="shared" si="18"/>
        <v>0.02</v>
      </c>
      <c r="O69" s="18">
        <f t="shared" si="19"/>
        <v>3080.8958525297103</v>
      </c>
      <c r="P69" s="12">
        <f t="shared" si="20"/>
        <v>3.0839798323622745</v>
      </c>
      <c r="Q69" s="19">
        <f t="shared" si="21"/>
        <v>3176.4992273329349</v>
      </c>
    </row>
    <row r="70" spans="2:17" ht="17.100000000000001" customHeight="1" x14ac:dyDescent="0.3">
      <c r="B70" s="7" t="s">
        <v>51</v>
      </c>
      <c r="C70" s="7" t="s">
        <v>41</v>
      </c>
      <c r="D70" s="12">
        <f>$C$11+127.5</f>
        <v>3127.5</v>
      </c>
      <c r="E70" s="9">
        <v>114</v>
      </c>
      <c r="F70" s="10">
        <f t="shared" si="12"/>
        <v>2.0649080735411669</v>
      </c>
      <c r="G70" s="11">
        <f t="shared" si="13"/>
        <v>322.89999999999998</v>
      </c>
      <c r="H70" s="10">
        <f t="shared" si="22"/>
        <v>45.422519753377024</v>
      </c>
      <c r="I70" s="12">
        <f t="shared" si="23"/>
        <v>7008.6000000000013</v>
      </c>
      <c r="J70" s="17">
        <f t="shared" si="14"/>
        <v>3085.958259494811</v>
      </c>
      <c r="K70" s="12">
        <f t="shared" si="15"/>
        <v>1104.4694713133911</v>
      </c>
      <c r="L70" s="12">
        <f t="shared" si="16"/>
        <v>3289.6650479365208</v>
      </c>
      <c r="M70" s="14">
        <f t="shared" si="17"/>
        <v>5.1851334272268824E-2</v>
      </c>
      <c r="N70" s="14">
        <f t="shared" si="18"/>
        <v>0.02</v>
      </c>
      <c r="O70" s="18">
        <f t="shared" si="19"/>
        <v>3082.8723012353162</v>
      </c>
      <c r="P70" s="12">
        <f t="shared" si="20"/>
        <v>3.0859582594948733</v>
      </c>
      <c r="Q70" s="19">
        <f t="shared" si="21"/>
        <v>3178.5370072796554</v>
      </c>
    </row>
    <row r="71" spans="2:17" ht="17.100000000000001" customHeight="1" x14ac:dyDescent="0.3">
      <c r="B71" s="7" t="s">
        <v>51</v>
      </c>
      <c r="C71" s="7" t="s">
        <v>42</v>
      </c>
      <c r="D71" s="12">
        <f>$C$11+130</f>
        <v>3130</v>
      </c>
      <c r="E71" s="9">
        <v>118</v>
      </c>
      <c r="F71" s="10">
        <f t="shared" si="12"/>
        <v>2.136102236421725</v>
      </c>
      <c r="G71" s="11">
        <f t="shared" si="13"/>
        <v>334.3</v>
      </c>
      <c r="H71" s="10">
        <f t="shared" si="22"/>
        <v>47.558621989798752</v>
      </c>
      <c r="I71" s="12">
        <f t="shared" si="23"/>
        <v>7342.9000000000015</v>
      </c>
      <c r="J71" s="17">
        <f t="shared" si="14"/>
        <v>3087.9364005016973</v>
      </c>
      <c r="K71" s="12">
        <f t="shared" si="15"/>
        <v>656.61317192993374</v>
      </c>
      <c r="L71" s="12">
        <f t="shared" si="16"/>
        <v>3281.794244874819</v>
      </c>
      <c r="M71" s="14">
        <f t="shared" si="17"/>
        <v>4.8496563857769653E-2</v>
      </c>
      <c r="N71" s="14">
        <f t="shared" si="18"/>
        <v>0.02</v>
      </c>
      <c r="O71" s="18">
        <f t="shared" si="19"/>
        <v>3084.8484641011955</v>
      </c>
      <c r="P71" s="12">
        <f t="shared" si="20"/>
        <v>3.0879364005018033</v>
      </c>
      <c r="Q71" s="19">
        <f t="shared" si="21"/>
        <v>3180.5744925167483</v>
      </c>
    </row>
    <row r="72" spans="2:17" ht="17.100000000000001" customHeight="1" x14ac:dyDescent="0.3">
      <c r="B72" s="7" t="s">
        <v>51</v>
      </c>
      <c r="C72" s="7" t="s">
        <v>43</v>
      </c>
      <c r="D72" s="12">
        <f>$C$11+132.5</f>
        <v>3132.5</v>
      </c>
      <c r="E72" s="9">
        <v>122</v>
      </c>
      <c r="F72" s="10">
        <f t="shared" si="12"/>
        <v>2.2065442936951318</v>
      </c>
      <c r="G72" s="11">
        <f t="shared" si="13"/>
        <v>345.6</v>
      </c>
      <c r="H72" s="10">
        <f t="shared" si="22"/>
        <v>49.765166283493883</v>
      </c>
      <c r="I72" s="12">
        <f t="shared" si="23"/>
        <v>7688.5000000000018</v>
      </c>
      <c r="J72" s="17">
        <f t="shared" si="14"/>
        <v>3089.9123118373359</v>
      </c>
      <c r="K72" s="12">
        <f t="shared" si="15"/>
        <v>192.11661695543489</v>
      </c>
      <c r="L72" s="12">
        <f t="shared" si="16"/>
        <v>3274.4836609668091</v>
      </c>
      <c r="M72" s="14">
        <f t="shared" si="17"/>
        <v>4.5325989135453826E-2</v>
      </c>
      <c r="N72" s="14">
        <f t="shared" si="18"/>
        <v>0.02</v>
      </c>
      <c r="O72" s="18">
        <f t="shared" si="19"/>
        <v>3086.8223995254984</v>
      </c>
      <c r="P72" s="12">
        <f t="shared" si="20"/>
        <v>3.0899123118374519</v>
      </c>
      <c r="Q72" s="19">
        <f t="shared" si="21"/>
        <v>3182.6096811924563</v>
      </c>
    </row>
    <row r="73" spans="2:17" ht="17.100000000000001" customHeight="1" x14ac:dyDescent="0.3">
      <c r="B73" s="7" t="s">
        <v>51</v>
      </c>
      <c r="C73" s="7" t="s">
        <v>44</v>
      </c>
      <c r="D73" s="12">
        <f>$C$11+135</f>
        <v>3135</v>
      </c>
      <c r="E73" s="9">
        <v>126</v>
      </c>
      <c r="F73" s="10">
        <f t="shared" si="12"/>
        <v>2.2768740031897927</v>
      </c>
      <c r="G73" s="11">
        <f t="shared" si="13"/>
        <v>356.9</v>
      </c>
      <c r="H73" s="10">
        <f t="shared" si="22"/>
        <v>52.042040286683672</v>
      </c>
      <c r="I73" s="12">
        <f t="shared" si="23"/>
        <v>8045.4000000000015</v>
      </c>
      <c r="J73" s="17">
        <f t="shared" si="14"/>
        <v>3091.8849282927245</v>
      </c>
      <c r="K73" s="12">
        <f t="shared" si="15"/>
        <v>-289.19629875329065</v>
      </c>
      <c r="L73" s="12">
        <f t="shared" si="16"/>
        <v>3267.6987778724711</v>
      </c>
      <c r="M73" s="14">
        <f t="shared" si="17"/>
        <v>4.2328158810995553E-2</v>
      </c>
      <c r="N73" s="14">
        <f t="shared" si="18"/>
        <v>0.02</v>
      </c>
      <c r="O73" s="18">
        <f t="shared" si="19"/>
        <v>3088.7930433644319</v>
      </c>
      <c r="P73" s="12">
        <f t="shared" si="20"/>
        <v>3.0918849282925294</v>
      </c>
      <c r="Q73" s="19">
        <f t="shared" si="21"/>
        <v>3184.6414761415062</v>
      </c>
    </row>
    <row r="74" spans="2:17" ht="17.100000000000001" customHeight="1" x14ac:dyDescent="0.3">
      <c r="B74" s="7" t="s">
        <v>51</v>
      </c>
      <c r="C74" s="7" t="s">
        <v>45</v>
      </c>
      <c r="D74" s="12">
        <f>$C$11+137.5</f>
        <v>3137.5</v>
      </c>
      <c r="E74" s="9">
        <v>130</v>
      </c>
      <c r="F74" s="10">
        <f t="shared" si="12"/>
        <v>2.3477290836653388</v>
      </c>
      <c r="G74" s="11">
        <f t="shared" si="13"/>
        <v>368.3</v>
      </c>
      <c r="H74" s="10">
        <f t="shared" si="22"/>
        <v>54.389769370349015</v>
      </c>
      <c r="I74" s="12">
        <f t="shared" si="23"/>
        <v>8413.7000000000007</v>
      </c>
      <c r="J74" s="17">
        <f t="shared" si="14"/>
        <v>3093.853898408619</v>
      </c>
      <c r="K74" s="12">
        <f t="shared" si="15"/>
        <v>-787.60139947003699</v>
      </c>
      <c r="L74" s="12">
        <f t="shared" si="16"/>
        <v>3261.4049798365349</v>
      </c>
      <c r="M74" s="14">
        <f t="shared" si="17"/>
        <v>3.9491627039533052E-2</v>
      </c>
      <c r="N74" s="14">
        <f t="shared" si="18"/>
        <v>0.02</v>
      </c>
      <c r="O74" s="18">
        <f t="shared" si="19"/>
        <v>3090.7600445102103</v>
      </c>
      <c r="P74" s="12">
        <f t="shared" si="20"/>
        <v>3.0938538984087245</v>
      </c>
      <c r="Q74" s="19">
        <f t="shared" si="21"/>
        <v>3186.6695153608775</v>
      </c>
    </row>
    <row r="75" spans="2:17" ht="17.100000000000001" customHeight="1" x14ac:dyDescent="0.3">
      <c r="B75" s="7" t="s">
        <v>51</v>
      </c>
      <c r="C75" s="7" t="s">
        <v>46</v>
      </c>
      <c r="D75" s="12">
        <f>$C$11+140</f>
        <v>3140</v>
      </c>
      <c r="E75" s="9">
        <v>134</v>
      </c>
      <c r="F75" s="10">
        <f t="shared" si="12"/>
        <v>2.4178343949044585</v>
      </c>
      <c r="G75" s="11">
        <f t="shared" si="13"/>
        <v>379.6</v>
      </c>
      <c r="H75" s="10">
        <f t="shared" si="22"/>
        <v>56.807603765253475</v>
      </c>
      <c r="I75" s="12">
        <f t="shared" si="23"/>
        <v>8793.3000000000011</v>
      </c>
      <c r="J75" s="17">
        <f t="shared" si="14"/>
        <v>3095.8179599817754</v>
      </c>
      <c r="K75" s="12">
        <f t="shared" si="15"/>
        <v>-1303.1758228958765</v>
      </c>
      <c r="L75" s="12">
        <f t="shared" si="16"/>
        <v>3255.5728683183465</v>
      </c>
      <c r="M75" s="14">
        <f t="shared" si="17"/>
        <v>3.6806645961256858E-2</v>
      </c>
      <c r="N75" s="14">
        <f t="shared" si="18"/>
        <v>0.02</v>
      </c>
      <c r="O75" s="18">
        <f t="shared" si="19"/>
        <v>3092.7221420217938</v>
      </c>
      <c r="P75" s="12">
        <f t="shared" si="20"/>
        <v>3.0958179599815594</v>
      </c>
      <c r="Q75" s="19">
        <f t="shared" si="21"/>
        <v>3188.6924987812286</v>
      </c>
    </row>
    <row r="76" spans="2:17" ht="17.100000000000001" customHeight="1" x14ac:dyDescent="0.3">
      <c r="B76" s="7" t="s">
        <v>51</v>
      </c>
      <c r="C76" s="7" t="s">
        <v>47</v>
      </c>
      <c r="D76" s="12">
        <f>$C$11+142.5</f>
        <v>3142.5</v>
      </c>
      <c r="E76" s="9">
        <v>138</v>
      </c>
      <c r="F76" s="10">
        <f t="shared" si="12"/>
        <v>2.4878281622911693</v>
      </c>
      <c r="G76" s="11">
        <f t="shared" si="13"/>
        <v>390.9</v>
      </c>
      <c r="H76" s="10">
        <f t="shared" si="22"/>
        <v>59.295431927544641</v>
      </c>
      <c r="I76" s="12">
        <f t="shared" si="23"/>
        <v>9184.2000000000007</v>
      </c>
      <c r="J76" s="17">
        <f t="shared" si="14"/>
        <v>3097.7765744998792</v>
      </c>
      <c r="K76" s="12">
        <f t="shared" si="15"/>
        <v>-1836.0948323090283</v>
      </c>
      <c r="L76" s="12">
        <f t="shared" si="16"/>
        <v>3250.1727661827763</v>
      </c>
      <c r="M76" s="14">
        <f t="shared" si="17"/>
        <v>3.4263410082029051E-2</v>
      </c>
      <c r="N76" s="14">
        <f t="shared" si="18"/>
        <v>0.02</v>
      </c>
      <c r="O76" s="18">
        <f t="shared" si="19"/>
        <v>3094.6787979253795</v>
      </c>
      <c r="P76" s="12">
        <f t="shared" si="20"/>
        <v>3.0977765744996759</v>
      </c>
      <c r="Q76" s="19">
        <f t="shared" si="21"/>
        <v>3190.7098717348758</v>
      </c>
    </row>
    <row r="77" spans="2:17" ht="17.100000000000001" customHeight="1" x14ac:dyDescent="0.3">
      <c r="B77" s="7" t="s">
        <v>51</v>
      </c>
      <c r="C77" s="7" t="s">
        <v>48</v>
      </c>
      <c r="D77" s="12">
        <f>$C$11+145</f>
        <v>3145</v>
      </c>
      <c r="E77" s="9">
        <v>142</v>
      </c>
      <c r="F77" s="10">
        <f t="shared" si="12"/>
        <v>2.5583465818759938</v>
      </c>
      <c r="G77" s="11">
        <f t="shared" si="13"/>
        <v>402.3</v>
      </c>
      <c r="H77" s="10">
        <f t="shared" si="22"/>
        <v>61.853778509420636</v>
      </c>
      <c r="I77" s="12">
        <f t="shared" si="23"/>
        <v>9586.5</v>
      </c>
      <c r="J77" s="17">
        <f t="shared" si="14"/>
        <v>3099.7297921063719</v>
      </c>
      <c r="K77" s="12">
        <f t="shared" si="15"/>
        <v>-2386.6334121279006</v>
      </c>
      <c r="L77" s="12">
        <f t="shared" si="16"/>
        <v>3245.1755251885284</v>
      </c>
      <c r="M77" s="14">
        <f t="shared" si="17"/>
        <v>3.1852313255493911E-2</v>
      </c>
      <c r="N77" s="14">
        <f t="shared" si="18"/>
        <v>0.02</v>
      </c>
      <c r="O77" s="18">
        <f t="shared" si="19"/>
        <v>3096.6300623142656</v>
      </c>
      <c r="P77" s="12">
        <f t="shared" si="20"/>
        <v>3.0997297921062454</v>
      </c>
      <c r="Q77" s="19">
        <f t="shared" si="21"/>
        <v>3192.7216858695633</v>
      </c>
    </row>
    <row r="78" spans="2:17" ht="17.100000000000001" customHeight="1" x14ac:dyDescent="0.3">
      <c r="B78" s="7" t="s">
        <v>51</v>
      </c>
      <c r="C78" s="7" t="s">
        <v>49</v>
      </c>
      <c r="D78" s="12">
        <f>$C$11+147.5</f>
        <v>3147.5</v>
      </c>
      <c r="E78" s="9">
        <v>146</v>
      </c>
      <c r="F78" s="10">
        <f t="shared" si="12"/>
        <v>2.6281175536139791</v>
      </c>
      <c r="G78" s="11">
        <f t="shared" si="13"/>
        <v>413.6</v>
      </c>
      <c r="H78" s="10">
        <f t="shared" si="22"/>
        <v>64.481896063034611</v>
      </c>
      <c r="I78" s="12">
        <f t="shared" si="23"/>
        <v>10000.1</v>
      </c>
      <c r="J78" s="17">
        <f t="shared" si="14"/>
        <v>3101.6767838912028</v>
      </c>
      <c r="K78" s="12">
        <f t="shared" si="15"/>
        <v>-2954.8678584014328</v>
      </c>
      <c r="L78" s="12">
        <f t="shared" si="16"/>
        <v>3240.556290808835</v>
      </c>
      <c r="M78" s="14">
        <f t="shared" si="17"/>
        <v>2.9565144021869737E-2</v>
      </c>
      <c r="N78" s="14">
        <f t="shared" si="18"/>
        <v>0.02</v>
      </c>
      <c r="O78" s="18">
        <f t="shared" si="19"/>
        <v>3098.5751071073119</v>
      </c>
      <c r="P78" s="12">
        <f t="shared" si="20"/>
        <v>3.10167678389098</v>
      </c>
      <c r="Q78" s="19">
        <f t="shared" si="21"/>
        <v>3194.7270874079391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비트_롱계산기</vt:lpstr>
      <vt:lpstr>비트_숏계산기</vt:lpstr>
      <vt:lpstr>이더_롱계산기</vt:lpstr>
      <vt:lpstr>이더_숏계산기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공</cp:lastModifiedBy>
  <dcterms:created xsi:type="dcterms:W3CDTF">2026-07-20T01:43:50Z</dcterms:created>
  <dcterms:modified xsi:type="dcterms:W3CDTF">2026-07-27T01:52:16Z</dcterms:modified>
</cp:coreProperties>
</file>